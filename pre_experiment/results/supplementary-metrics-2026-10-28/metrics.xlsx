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f83d3eddc040b2" /></Relationships>
</file>

<file path=xl/workbook.xml><?xml version="1.0" encoding="utf-8"?>
<x:workbook xmlns:x="http://schemas.openxmlformats.org/spreadsheetml/2006/main">
  <x:sheets>
    <x:sheet xmlns:r="http://schemas.openxmlformats.org/officeDocument/2006/relationships" name="19 metrics" sheetId="1" r:id="Ra85ccb0455714d20"/>
    <x:sheet xmlns:r="http://schemas.openxmlformats.org/officeDocument/2006/relationships" name="Endpoint data" sheetId="2" r:id="R21df1a3c03af42dd"/>
    <x:sheet xmlns:r="http://schemas.openxmlformats.org/officeDocument/2006/relationships" name="Failure stages" sheetId="3" r:id="R9ebf287e7176487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0"/>
    <x:numFmt numFmtId="202" formatCode="0.0"/>
    <x:numFmt numFmtId="203" formatCode="0.0%"/>
  </x:numFmts>
  <x:fonts count="4">
    <x:font>
      <x:sz val="11"/>
      <x:name val="Carlito"/>
    </x:font>
    <x:font>
      <x:b/>
      <x:sz val="14"/>
      <x:name val="Arial"/>
    </x:font>
    <x:font>
      <x:sz val="10"/>
      <x:color rgb="FF172B4D"/>
      <x:name val="Arial"/>
    </x:font>
    <x:font>
      <x:b/>
      <x:sz val="10"/>
      <x:color rgb="FFFFFFFF"/>
      <x:name val="Arial"/>
    </x:font>
  </x:fonts>
  <x:fills count="4">
    <x:fill>
      <x:patternFill patternType="none"/>
    </x:fill>
    <x:fill>
      <x:patternFill patternType="gray125"/>
    </x:fill>
    <x:fill>
      <x:patternFill patternType="solid">
        <x:fgColor rgb="FF243B53"/>
      </x:patternFill>
    </x:fill>
    <x:fill>
      <x:patternFill patternType="solid">
        <x:fgColor rgb="FFF0F4F8"/>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200" fontId="2" fillId="0" borderId="0" xfId="0" applyNumberFormat="1" applyFont="1" applyFill="1" applyBorder="1"/>
    <x:xf numFmtId="201" fontId="2" fillId="0" borderId="0" xfId="0" applyNumberFormat="1" applyFont="1" applyFill="1" applyBorder="1"/>
    <x:xf numFmtId="202" fontId="2" fillId="0" borderId="0" xfId="0" applyNumberFormat="1" applyFont="1" applyFill="1" applyBorder="1"/>
    <x:xf numFmtId="203"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b63f3e9eaa47a5" /><Relationship Type="http://schemas.openxmlformats.org/officeDocument/2006/relationships/theme" Target="/xl/theme/theme1.xml" Id="R794fa666899944ce" /><Relationship Type="http://schemas.microsoft.com/office/2022/11/relationships/FeaturePropertyBag" Target="/xl/featurePropertyBag/featurePropertyBag.xml" Id="Rc52d6015a3da4041" /><Relationship Type="http://schemas.openxmlformats.org/officeDocument/2006/relationships/sharedStrings" Target="/xl/sharedStrings.xml" Id="R6f839dbe4a35429c" /><Relationship Type="http://schemas.openxmlformats.org/officeDocument/2006/relationships/worksheet" Target="/xl/worksheets/sheet1.xml" Id="Ra85ccb0455714d20" /><Relationship Type="http://schemas.openxmlformats.org/officeDocument/2006/relationships/worksheet" Target="/xl/worksheets/sheet2.xml" Id="R21df1a3c03af42dd" /><Relationship Type="http://schemas.openxmlformats.org/officeDocument/2006/relationships/worksheet" Target="/xl/worksheets/sheet3.xml" Id="R9ebf287e7176487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2" ySplit="5" topLeftCell="C6" activePane="bottomRight" state="frozen"/>
    </x:sheetView>
  </x:sheetViews>
  <x:sheetFormatPr defaultRowHeight="15"/>
  <x:cols>
    <x:col min="1" max="1" width="5" hidden="0" customWidth="1"/>
    <x:col min="2" max="2" width="38" hidden="0" customWidth="1"/>
    <x:col min="3" max="3" width="56" hidden="0" customWidth="1"/>
    <x:col min="4" max="4" width="56" hidden="0" customWidth="1"/>
    <x:col min="5" max="5" width="56" hidden="0" customWidth="1"/>
    <x:col min="6" max="6" width="56" hidden="0" customWidth="1"/>
    <x:col min="7" max="7" width="56" hidden="0" customWidth="1"/>
    <x:col min="8" max="8" width="56" hidden="0" customWidth="1"/>
    <x:col min="9" max="9" width="56" hidden="0" customWidth="1"/>
    <x:col min="10" max="10" width="56" hidden="0" customWidth="1"/>
    <x:col min="11" max="11" width="56" hidden="0" customWidth="1"/>
    <x:col min="12" max="12" width="56" hidden="0" customWidth="1"/>
    <x:col min="13" max="13" width="56" hidden="0" customWidth="1"/>
    <x:col min="14" max="14" width="56" hidden="0" customWidth="1"/>
    <x:col min="15" max="15" width="56" hidden="0" customWidth="1"/>
    <x:col min="16" max="16" width="56" hidden="0" customWidth="1"/>
    <x:col min="17" max="17" width="56" hidden="0" customWidth="1"/>
    <x:col min="18" max="18" width="56" hidden="0" customWidth="1"/>
    <x:col min="19" max="19" width="56" hidden="0" customWidth="1"/>
    <x:col min="20" max="20" width="56" hidden="0" customWidth="1"/>
    <x:col min="21" max="21" width="56" hidden="0" customWidth="1"/>
    <x:col min="22" max="22" width="56" hidden="0" customWidth="1"/>
    <x:col min="23" max="23" width="56" hidden="0" customWidth="1"/>
    <x:col min="24" max="24" width="56" hidden="0" customWidth="1"/>
    <x:col min="25" max="25" width="56" hidden="0" customWidth="1"/>
    <x:col min="26" max="26" width="56" hidden="0" customWidth="1"/>
  </x:cols>
  <x:sheetData>
    <x:row r="2">
      <x:c r="A2" s="1" t="str">
        <x:v>Exploratory ADaM experiment results</x:v>
      </x:c>
    </x:row>
    <x:row r="3">
      <x:c r="A3" t="str">
        <x:v>Single attempts. Historical controls are nonconcurrent. Repair metrics are not applicable to initial-only endpoints.</x:v>
      </x:c>
    </x:row>
    <x:row r="5" ht="48" customHeight="1">
      <x:c r="A5" s="8" t="str">
        <x:v>No.</x:v>
      </x:c>
      <x:c r="B5" s="8" t="str">
        <x:v>Metric</x:v>
      </x:c>
      <x:c r="C5" s="8" t="str">
        <x:v>openai / p21_feedback</x:v>
      </x:c>
      <x:c r="D5" s="8" t="str">
        <x:v>openai / initial_only</x:v>
      </x:c>
      <x:c r="E5" s="8" t="str">
        <x:v>openai / self_review</x:v>
      </x:c>
      <x:c r="F5" s="8" t="str">
        <x:v>anthropic / p21_feedback</x:v>
      </x:c>
      <x:c r="G5" s="8" t="str">
        <x:v>anthropic / initial_only</x:v>
      </x:c>
      <x:c r="H5" s="8" t="str">
        <x:v>anthropic / self_review</x:v>
      </x:c>
      <x:c r="I5" s="8" t="str">
        <x:v>google / p21_feedback</x:v>
      </x:c>
      <x:c r="J5" s="8" t="str">
        <x:v>google / initial_only</x:v>
      </x:c>
      <x:c r="K5" s="8" t="str">
        <x:v>google / self_review</x:v>
      </x:c>
      <x:c r="L5" s="8" t="str">
        <x:v>deepseek / p21_feedback</x:v>
      </x:c>
      <x:c r="M5" s="8" t="str">
        <x:v>deepseek / initial_only</x:v>
      </x:c>
      <x:c r="N5" s="8" t="str">
        <x:v>deepseek / self_review</x:v>
      </x:c>
      <x:c r="O5" s="8" t="str">
        <x:v>google / initial_only / temperature 0.2</x:v>
      </x:c>
      <x:c r="P5" s="8" t="str">
        <x:v>google / initial_only / temperature 0.6</x:v>
      </x:c>
      <x:c r="Q5" s="8" t="str">
        <x:v>google / initial_only / temperature 1.0</x:v>
      </x:c>
      <x:c r="R5" s="8" t="str">
        <x:v>gpt-oss-20b (DeepInfra) / initial_only</x:v>
      </x:c>
      <x:c r="S5" s="8" t="str">
        <x:v>gpt-oss-20b (DeepInfra) / self_review</x:v>
      </x:c>
      <x:c r="T5" s="8" t="str">
        <x:v>gpt-oss-20b (DeepInfra) / p21_feedback</x:v>
      </x:c>
      <x:c r="U5" s="8" t="str">
        <x:v>gpt-oss-120b (DeepInfra) / initial_only</x:v>
      </x:c>
      <x:c r="V5" s="8" t="str">
        <x:v>gpt-oss-120b (DeepInfra) / self_review</x:v>
      </x:c>
      <x:c r="W5" s="8" t="str">
        <x:v>gpt-oss-120b (DeepInfra) / p21_feedback</x:v>
      </x:c>
      <x:c r="X5" s="8" t="str">
        <x:v>llama-4-scout (DeepInfra) / initial_only</x:v>
      </x:c>
      <x:c r="Y5" s="8" t="str">
        <x:v>llama-4-scout (DeepInfra) / self_review</x:v>
      </x:c>
      <x:c r="Z5" s="8" t="str">
        <x:v>llama-4-scout (DeepInfra) / p21_feedback</x:v>
      </x:c>
    </x:row>
    <x:row r="6" ht="40" customHeight="1">
      <x:c r="A6" s="4" t="n">
        <x:v>1</x:v>
      </x:c>
      <x:c r="B6" s="4" t="str">
        <x:v>Workflow completion and complete dataset packages</x:v>
      </x:c>
      <x:c r="C6" s="4" t="str">
        <x:v>Status completed; completed 1/1; final 13 readable datasets 1/1; file set 1/1; required deliverables 1/1</x:v>
      </x:c>
      <x:c r="D6" s="4" t="str">
        <x:v>Status completed; initial-only completed 1/1; terminal 13 readable datasets 1/1; file set 1/1; required deliverables 1/1</x:v>
      </x:c>
      <x:c r="E6" s="4" t="str">
        <x:v>Status failed; completed 0/1; final 13 readable datasets 1/1; file set 1/1; required deliverables 1/1</x:v>
      </x:c>
      <x:c r="F6" s="4" t="str">
        <x:v>Status completed; completed 1/1; final 13 readable datasets 1/1; file set 1/1; required deliverables 1/1</x:v>
      </x:c>
      <x:c r="G6" s="4" t="str">
        <x:v>Status completed; initial-only completed 1/1; terminal 13 readable datasets 1/1; file set 1/1; required deliverables 1/1</x:v>
      </x:c>
      <x:c r="H6" s="4" t="str">
        <x:v>Status completed; completed 1/1; final 13 readable datasets 1/1; file set 1/1; required deliverables 1/1</x:v>
      </x:c>
      <x:c r="I6" s="4" t="str">
        <x:v>Status completed; completed 1/1; final 13 readable datasets 1/1; file set 1/1; required deliverables 1/1</x:v>
      </x:c>
      <x:c r="J6" s="4" t="str">
        <x:v>Status completed; initial-only completed 1/1; terminal 13 readable datasets 1/1; file set 1/1; required deliverables 1/1</x:v>
      </x:c>
      <x:c r="K6" s="4" t="str">
        <x:v>Status completed; completed 1/1; final 13 readable datasets 1/1; file set 1/1; required deliverables 1/1</x:v>
      </x:c>
      <x:c r="L6" s="4" t="str">
        <x:v>Status completed; completed 1/1; final 13 readable datasets 1/1; file set 1/1; required deliverables 1/1</x:v>
      </x:c>
      <x:c r="M6" s="4" t="str">
        <x:v>Status completed; initial-only completed 1/1; terminal 13 readable datasets 1/1; file set 1/1; required deliverables 1/1</x:v>
      </x:c>
      <x:c r="N6" s="4" t="str">
        <x:v>Status completed; completed 1/1; final 13 readable datasets 1/1; file set 1/1; required deliverables 1/1</x:v>
      </x:c>
      <x:c r="O6" s="4" t="str">
        <x:v>Status completed; initial-only completed 1/1; terminal 13 readable datasets 1/1; file set 1/1; required deliverables 1/1</x:v>
      </x:c>
      <x:c r="P6" s="4" t="str">
        <x:v>Status completed; initial-only completed 1/1; terminal 13 readable datasets 1/1; file set 1/1; required deliverables 1/1</x:v>
      </x:c>
      <x:c r="Q6" s="4" t="str">
        <x:v>Status completed; initial-only completed 1/1; terminal 13 readable datasets 1/1; file set 1/1; required deliverables 1/1</x:v>
      </x:c>
      <x:c r="R6" s="4" t="str">
        <x:v>Status completed; initial-only completed 1/1; terminal 13 readable datasets 0/1; file set 0/1; required deliverables 0/1</x:v>
      </x:c>
      <x:c r="S6" s="4" t="str">
        <x:v>Status completed; completed 1/1; final 13 readable datasets 0/1; file set 0/1; required deliverables 0/1</x:v>
      </x:c>
      <x:c r="T6" s="4" t="str">
        <x:v>Status completed; completed 1/1; final 13 readable datasets 0/1; file set 0/1; required deliverables 0/1</x:v>
      </x:c>
      <x:c r="U6" s="4" t="str">
        <x:v>Status completed; initial-only completed 1/1; terminal 13 readable datasets 0/1; file set 0/1; required deliverables 0/1</x:v>
      </x:c>
      <x:c r="V6" s="4" t="str">
        <x:v>Status completed; completed 1/1; final 13 readable datasets 0/1; file set 0/1; required deliverables 0/1</x:v>
      </x:c>
      <x:c r="W6" s="4" t="str">
        <x:v>Status completed; completed 1/1; final 13 readable datasets 0/1; file set 0/1; required deliverables 0/1</x:v>
      </x:c>
      <x:c r="X6" s="4" t="str">
        <x:v>Status completed; initial-only completed 1/1; terminal 13 readable datasets 0/1; file set 0/1; required deliverables 0/1</x:v>
      </x:c>
      <x:c r="Y6" s="4" t="str">
        <x:v>Status completed; completed 1/1; final 13 readable datasets 0/1; file set 0/1; required deliverables 0/1</x:v>
      </x:c>
      <x:c r="Z6" s="4" t="str">
        <x:v>Status completed; completed 1/1; final 13 readable datasets 0/1; file set 0/1; required deliverables 0/1</x:v>
      </x:c>
    </x:row>
    <x:row r="7" ht="36" customHeight="1">
      <x:c r="A7" s="9" t="n">
        <x:v>2</x:v>
      </x:c>
      <x:c r="B7" s="9" t="str">
        <x:v>Reproducible final packages</x:v>
      </x:c>
      <x:c r="C7" s="9" t="str">
        <x:v>Semantic 1/1; exact bytes 1/1</x:v>
      </x:c>
      <x:c r="D7" s="9" t="str">
        <x:v>Semantic 1/1; exact bytes 1/1</x:v>
      </x:c>
      <x:c r="E7" s="9" t="str">
        <x:v>Semantic 1/1; exact bytes 1/1</x:v>
      </x:c>
      <x:c r="F7" s="9" t="str">
        <x:v>Semantic 1/1; exact bytes 1/1</x:v>
      </x:c>
      <x:c r="G7" s="9" t="str">
        <x:v>Semantic 1/1; exact bytes 1/1</x:v>
      </x:c>
      <x:c r="H7" s="9" t="str">
        <x:v>Semantic 1/1; exact bytes 1/1</x:v>
      </x:c>
      <x:c r="I7" s="9" t="str">
        <x:v>Semantic 1/1; exact bytes 0/1</x:v>
      </x:c>
      <x:c r="J7" s="9" t="str">
        <x:v>Semantic 1/1; exact bytes 0/1</x:v>
      </x:c>
      <x:c r="K7" s="9" t="str">
        <x:v>Semantic 0/1; exact bytes 0/1</x:v>
      </x:c>
      <x:c r="L7" s="9" t="str">
        <x:v>Semantic 1/1; exact bytes 0/1</x:v>
      </x:c>
      <x:c r="M7" s="9" t="str">
        <x:v>Semantic 1/1; exact bytes 1/1</x:v>
      </x:c>
      <x:c r="N7" s="9" t="str">
        <x:v>Semantic 1/1; exact bytes 1/1</x:v>
      </x:c>
      <x:c r="O7" s="9" t="str">
        <x:v>Semantic 1/1; exact bytes 0/1</x:v>
      </x:c>
      <x:c r="P7" s="9" t="str">
        <x:v>Semantic 1/1; exact bytes 0/1</x:v>
      </x:c>
      <x:c r="Q7" s="9" t="str">
        <x:v>Semantic 0/1; exact bytes 0/1</x:v>
      </x:c>
      <x:c r="R7" s="9" t="str">
        <x:v>Semantic 0/1; exact bytes 0/1</x:v>
      </x:c>
      <x:c r="S7" s="9" t="str">
        <x:v>Semantic 0/1; exact bytes 0/1</x:v>
      </x:c>
      <x:c r="T7" s="9" t="str">
        <x:v>Semantic 0/1; exact bytes 0/1</x:v>
      </x:c>
      <x:c r="U7" s="9" t="str">
        <x:v>Semantic Unavailable; exact bytes Unavailable</x:v>
      </x:c>
      <x:c r="V7" s="9" t="str">
        <x:v>Semantic Unavailable; exact bytes Unavailable</x:v>
      </x:c>
      <x:c r="W7" s="9" t="str">
        <x:v>Semantic Unavailable; exact bytes Unavailable</x:v>
      </x:c>
      <x:c r="X7" s="9" t="str">
        <x:v>Semantic Unavailable; exact bytes Unavailable</x:v>
      </x:c>
      <x:c r="Y7" s="9" t="str">
        <x:v>Semantic Unavailable; exact bytes Unavailable</x:v>
      </x:c>
      <x:c r="Z7" s="9" t="str">
        <x:v>Semantic Unavailable; exact bytes Unavailable</x:v>
      </x:c>
    </x:row>
    <x:row r="8" ht="54" customHeight="1">
      <x:c r="A8" s="4" t="n">
        <x:v>3</x:v>
      </x:c>
      <x:c r="B8" s="4" t="str">
        <x:v>Valid final P21 evaluations</x:v>
      </x:c>
      <x:c r="C8" s="4" t="str">
        <x:v>Current Usable 1/1; full coverage True; validated 13/13
Original usable 1/1; separately reassessed</x:v>
      </x:c>
      <x:c r="D8" s="4" t="str">
        <x:v>Current Usable 1/1; full coverage True; validated 13/13
Original usable 1/1; separately reassessed</x:v>
      </x:c>
      <x:c r="E8" s="4" t="str">
        <x:v>Current Usable 1/1; full coverage True; validated 13/13
Original usable 0/1; client_runtime_error; separately reassessed</x:v>
      </x:c>
      <x:c r="F8" s="4" t="str">
        <x:v>Current Usable 1/1; full coverage True; validated 13/13
Original usable 1/1; separately reassessed</x:v>
      </x:c>
      <x:c r="G8" s="4" t="str">
        <x:v>Current Usable 1/1; full coverage True; validated 13/13
Original usable 1/1</x:v>
      </x:c>
      <x:c r="H8" s="4" t="str">
        <x:v>Current Usable 1/1; full coverage True; validated 13/13
Original usable 1/1</x:v>
      </x:c>
      <x:c r="I8" s="4" t="str">
        <x:v>Current Usable 1/1; full coverage True; validated 13/13
Original usable 1/1; separately reassessed</x:v>
      </x:c>
      <x:c r="J8" s="4" t="str">
        <x:v>Current Usable 1/1; full coverage True; validated 13/13
Original usable 1/1</x:v>
      </x:c>
      <x:c r="K8" s="4" t="str">
        <x:v>Current Usable 1/1; full coverage True; validated 13/13
Original usable 1/1</x:v>
      </x:c>
      <x:c r="L8" s="4" t="str">
        <x:v>Current Usable 1/1; full coverage True; validated 13/13
Original usable 1/1</x:v>
      </x:c>
      <x:c r="M8" s="4" t="str">
        <x:v>Current Usable 1/1; full coverage True; validated 13/13
Original usable 1/1</x:v>
      </x:c>
      <x:c r="N8" s="4" t="str">
        <x:v>Current Usable 1/1; full coverage True; validated 13/13
Original usable 1/1</x:v>
      </x:c>
      <x:c r="O8" s="4" t="str">
        <x:v>Current Usable 1/1; full coverage True; validated 13/13
Original usable 1/1</x:v>
      </x:c>
      <x:c r="P8" s="4" t="str">
        <x:v>Current Usable 1/1; full coverage True; validated 13/13
Original usable 1/1</x:v>
      </x:c>
      <x:c r="Q8" s="4" t="str">
        <x:v>Current Usable 1/1; full coverage True; validated 13/13
Original usable 1/1</x:v>
      </x:c>
      <x:c r="R8" s="4" t="str">
        <x:v>Current Usable 0/1; full coverage False; validated Unavailable; reason: P21 client logged runtime errors; report is unqualified
Original usable 0/1; client_runtime_error</x:v>
      </x:c>
      <x:c r="S8" s="4" t="str">
        <x:v>Current Usable 0/1; full coverage False; validated Unavailable; reason: P21 client logged runtime errors; report is unqualified
Original usable 0/1; client_runtime_error</x:v>
      </x:c>
      <x:c r="T8" s="4" t="str">
        <x:v>Current Usable 0/1; full coverage False; validated Unavailable; reason: P21 client logged runtime errors; report is unqualified
Original usable 0/1; client_runtime_error</x:v>
      </x:c>
      <x:c r="U8" s="4" t="str">
        <x:v>Current Usable 0/1; full coverage False; validated Unavailable; reason: P21 client logged runtime errors; report is unqualified
Original usable 0/1; client_runtime_error</x:v>
      </x:c>
      <x:c r="V8" s="4" t="str">
        <x:v>Current Usable 0/1; full coverage False; validated Unavailable; reason: P21 client logged runtime errors; report is unqualified
Original usable 0/1; client_runtime_error</x:v>
      </x:c>
      <x:c r="W8" s="4" t="str">
        <x:v>Current Usable 0/1; full coverage False; validated Unavailable; reason: P21 client logged runtime errors; report is unqualified
Original usable 0/1; client_runtime_error</x:v>
      </x:c>
      <x:c r="X8" s="4" t="str">
        <x:v>Current Usable 0/1; full coverage False; validated Unavailable; reason: P21 client logged runtime errors; report is unqualified
Original usable 0/1; client_runtime_error</x:v>
      </x:c>
      <x:c r="Y8" s="4" t="str">
        <x:v>Current Usable 0/1; full coverage False; validated Unavailable; reason: P21 client logged runtime errors; report is unqualified
Original usable 0/1; client_runtime_error</x:v>
      </x:c>
      <x:c r="Z8" s="4" t="str">
        <x:v>Current Usable 0/1; full coverage False; validated Unavailable; reason: P21 client logged runtime errors; report is unqualified
Original usable 0/1; client_runtime_error</x:v>
      </x:c>
    </x:row>
    <x:row r="9" ht="54" customHeight="1">
      <x:c r="A9" s="9" t="n">
        <x:v>4</x:v>
      </x:c>
      <x:c r="B9" s="9" t="str">
        <x:v>Initial and final dataset-rule pairs</x:v>
      </x:c>
      <x:c r="C9" s="9" t="str">
        <x:v>Initial: pairs 26, instances 4802, distinct rules 10; Final: pairs 24, instances 3940, distinct rules 9</x:v>
      </x:c>
      <x:c r="D9" s="9" t="str">
        <x:v>Initial/terminal: pairs 26, instances 4708, distinct rules 10; repair not applicable</x:v>
      </x:c>
      <x:c r="E9" s="9" t="str">
        <x:v>Initial: pairs 26, instances 4708, distinct rules 10; Final: pairs 26, instances 4708, distinct rules 10</x:v>
      </x:c>
      <x:c r="F9" s="9" t="str">
        <x:v>Initial: pairs 26, instances 4822, distinct rules 10; Final: pairs 24, instances 4074, distinct rules 9</x:v>
      </x:c>
      <x:c r="G9" s="9" t="str">
        <x:v>Initial/terminal: pairs 26, instances 4802, distinct rules 10; repair not applicable</x:v>
      </x:c>
      <x:c r="H9" s="9" t="str">
        <x:v>Initial: pairs 26, instances 4802, distinct rules 10; Final: pairs 26, instances 4802, distinct rules 10</x:v>
      </x:c>
      <x:c r="I9" s="9" t="str">
        <x:v>Initial: pairs 49, instances 1541131, distinct rules 7; Final: pairs 15, instances 35, distinct rules 4</x:v>
      </x:c>
      <x:c r="J9" s="9" t="str">
        <x:v>Initial/terminal: pairs 64, instances 405028, distinct rules 9; repair not applicable</x:v>
      </x:c>
      <x:c r="K9" s="9" t="str">
        <x:v>Initial: pairs 64, instances 405028, distinct rules 9; Final: pairs 58, instances 502447, distinct rules 8</x:v>
      </x:c>
      <x:c r="L9" s="9" t="str">
        <x:v>Initial: pairs 47, instances 134406, distinct rules 14; Final: pairs 24, instances 4050, distinct rules 9</x:v>
      </x:c>
      <x:c r="M9" s="9" t="str">
        <x:v>Initial/terminal: pairs 28, instances 47926, distinct rules 10; repair not applicable</x:v>
      </x:c>
      <x:c r="N9" s="9" t="str">
        <x:v>Initial: pairs 28, instances 47926, distinct rules 10; Final: pairs 25, instances 4118, distinct rules 9</x:v>
      </x:c>
      <x:c r="O9" s="9" t="str">
        <x:v>Initial/terminal: pairs 80, instances 10483, distinct rules 13; repair not applicable</x:v>
      </x:c>
      <x:c r="P9" s="9" t="str">
        <x:v>Initial/terminal: pairs 79, instances 707266, distinct rules 12; repair not applicable</x:v>
      </x:c>
      <x:c r="Q9" s="9" t="str">
        <x:v>Initial/terminal: pairs 89, instances 837426, distinct rules 11; repair not applicable</x:v>
      </x:c>
      <x:c r="R9" s="9" t="str">
        <x:v>Initial/terminal: pairs Unavailable, instances Unavailable, distinct rules Unavailable; repair not applicable</x:v>
      </x:c>
      <x:c r="S9" s="9" t="str">
        <x:v>Initial: pairs Unavailable, instances Unavailable, distinct rules Unavailable; Final: pairs Unavailable, instances Unavailable, distinct rules Unavailable</x:v>
      </x:c>
      <x:c r="T9" s="9" t="str">
        <x:v>Initial: pairs Unavailable, instances Unavailable, distinct rules Unavailable; Final: pairs Unavailable, instances Unavailable, distinct rules Unavailable</x:v>
      </x:c>
      <x:c r="U9" s="9" t="str">
        <x:v>Initial/terminal: pairs Unavailable, instances Unavailable, distinct rules Unavailable; repair not applicable</x:v>
      </x:c>
      <x:c r="V9" s="9" t="str">
        <x:v>Initial: pairs Unavailable, instances Unavailable, distinct rules Unavailable; Final: pairs Unavailable, instances Unavailable, distinct rules Unavailable</x:v>
      </x:c>
      <x:c r="W9" s="9" t="str">
        <x:v>Initial: pairs Unavailable, instances Unavailable, distinct rules Unavailable; Final: pairs Unavailable, instances Unavailable, distinct rules Unavailable</x:v>
      </x:c>
      <x:c r="X9" s="9" t="str">
        <x:v>Initial/terminal: pairs Unavailable, instances Unavailable, distinct rules Unavailable; repair not applicable</x:v>
      </x:c>
      <x:c r="Y9" s="9" t="str">
        <x:v>Initial: pairs Unavailable, instances Unavailable, distinct rules Unavailable; Final: pairs Unavailable, instances Unavailable, distinct rules Unavailable</x:v>
      </x:c>
      <x:c r="Z9" s="9" t="str">
        <x:v>Initial: pairs Unavailable, instances Unavailable, distinct rules Unavailable; Final: pairs Unavailable, instances Unavailable, distinct rules Unavailable</x:v>
      </x:c>
    </x:row>
    <x:row r="10" ht="36" customHeight="1">
      <x:c r="A10" s="4" t="n">
        <x:v>5</x:v>
      </x:c>
      <x:c r="B10" s="4" t="str">
        <x:v>Reduction from initial to final</x:v>
      </x:c>
      <x:c r="C10" s="4" t="str">
        <x:v>Raw 2; guarded Unavailable; review_required; 6 flags</x:v>
      </x:c>
      <x:c r="D10" s="4" t="str">
        <x:v>Not applicable: no repair phase</x:v>
      </x:c>
      <x:c r="E10" s="4" t="str">
        <x:v>Raw 0; guarded Unavailable; review_required; 2 flags</x:v>
      </x:c>
      <x:c r="F10" s="4" t="str">
        <x:v>Raw 2; guarded 2; no_detected_regression; 0 flags</x:v>
      </x:c>
      <x:c r="G10" s="4" t="str">
        <x:v>Not applicable: no repair phase</x:v>
      </x:c>
      <x:c r="H10" s="4" t="str">
        <x:v>Raw 0; guarded 0; no_detected_regression; 0 flags</x:v>
      </x:c>
      <x:c r="I10" s="4" t="str">
        <x:v>Raw 34; guarded Unavailable; review_required; 77 flags</x:v>
      </x:c>
      <x:c r="J10" s="4" t="str">
        <x:v>Not applicable: no repair phase</x:v>
      </x:c>
      <x:c r="K10" s="4" t="str">
        <x:v>Raw 6; guarded Unavailable; review_required; 20 flags</x:v>
      </x:c>
      <x:c r="L10" s="4" t="str">
        <x:v>Raw 23; guarded 23; no_detected_regression; 0 flags</x:v>
      </x:c>
      <x:c r="M10" s="4" t="str">
        <x:v>Not applicable: no repair phase</x:v>
      </x:c>
      <x:c r="N10" s="4" t="str">
        <x:v>Raw 3; guarded 3; no_detected_regression; 0 flags</x:v>
      </x:c>
      <x:c r="O10" s="4" t="str">
        <x:v>Not applicable: no repair phase</x:v>
      </x:c>
      <x:c r="P10" s="4" t="str">
        <x:v>Not applicable: no repair phase</x:v>
      </x:c>
      <x:c r="Q10" s="4" t="str">
        <x:v>Not applicable: no repair phase</x:v>
      </x:c>
      <x:c r="R10" s="4" t="str">
        <x:v>Not applicable: no repair phase</x:v>
      </x:c>
      <x:c r="S10" s="4" t="str">
        <x:v>Raw Unavailable; guarded Unavailable; unavailable; 0 flags</x:v>
      </x:c>
      <x:c r="T10" s="4" t="str">
        <x:v>Raw Unavailable; guarded Unavailable; unavailable; 0 flags</x:v>
      </x:c>
      <x:c r="U10" s="4" t="str">
        <x:v>Not applicable: no repair phase</x:v>
      </x:c>
      <x:c r="V10" s="4" t="str">
        <x:v>Raw Unavailable; guarded Unavailable; unavailable; 0 flags</x:v>
      </x:c>
      <x:c r="W10" s="4" t="str">
        <x:v>Raw Unavailable; guarded Unavailable; unavailable; 0 flags</x:v>
      </x:c>
      <x:c r="X10" s="4" t="str">
        <x:v>Not applicable: no repair phase</x:v>
      </x:c>
      <x:c r="Y10" s="4" t="str">
        <x:v>Raw Unavailable; guarded Unavailable; unavailable; 0 flags</x:v>
      </x:c>
      <x:c r="Z10" s="4" t="str">
        <x:v>Raw Unavailable; guarded Unavailable; unavailable; 0 flags</x:v>
      </x:c>
    </x:row>
    <x:row r="11" ht="36" customHeight="1">
      <x:c r="A11" s="9" t="n">
        <x:v>6</x:v>
      </x:c>
      <x:c r="B11" s="9" t="str">
        <x:v>Final findings by severity</x:v>
      </x:c>
      <x:c r="C11" s="9" t="str">
        <x:v>Unassigned: 24 pairs</x:v>
      </x:c>
      <x:c r="D11" s="9" t="str">
        <x:v>Unassigned: 26 pairs</x:v>
      </x:c>
      <x:c r="E11" s="9" t="str">
        <x:v>Unassigned: 26 pairs</x:v>
      </x:c>
      <x:c r="F11" s="9" t="str">
        <x:v>Unassigned: 24 pairs</x:v>
      </x:c>
      <x:c r="G11" s="9" t="str">
        <x:v>Unassigned: 26 pairs</x:v>
      </x:c>
      <x:c r="H11" s="9" t="str">
        <x:v>Unassigned: 26 pairs</x:v>
      </x:c>
      <x:c r="I11" s="9" t="str">
        <x:v>Unassigned: 15 pairs</x:v>
      </x:c>
      <x:c r="J11" s="9" t="str">
        <x:v>Unassigned: 64 pairs</x:v>
      </x:c>
      <x:c r="K11" s="9" t="str">
        <x:v>Unassigned: 58 pairs</x:v>
      </x:c>
      <x:c r="L11" s="9" t="str">
        <x:v>Unassigned: 24 pairs</x:v>
      </x:c>
      <x:c r="M11" s="9" t="str">
        <x:v>Unassigned: 28 pairs</x:v>
      </x:c>
      <x:c r="N11" s="9" t="str">
        <x:v>Unassigned: 25 pairs</x:v>
      </x:c>
      <x:c r="O11" s="9" t="str">
        <x:v>Unassigned: 80 pairs</x:v>
      </x:c>
      <x:c r="P11" s="9" t="str">
        <x:v>Unassigned: 79 pairs</x:v>
      </x:c>
      <x:c r="Q11" s="9" t="str">
        <x:v>Unassigned: 89 pairs</x:v>
      </x:c>
      <x:c r="R11" s="9" t="str">
        <x:v>Unavailable; no usable report</x:v>
      </x:c>
      <x:c r="S11" s="9" t="str">
        <x:v>Unavailable; no usable report</x:v>
      </x:c>
      <x:c r="T11" s="9" t="str">
        <x:v>Unavailable; no usable report</x:v>
      </x:c>
      <x:c r="U11" s="9" t="str">
        <x:v>Unavailable; no usable report</x:v>
      </x:c>
      <x:c r="V11" s="9" t="str">
        <x:v>Unavailable; no usable report</x:v>
      </x:c>
      <x:c r="W11" s="9" t="str">
        <x:v>Unavailable; no usable report</x:v>
      </x:c>
      <x:c r="X11" s="9" t="str">
        <x:v>Unavailable; no usable report</x:v>
      </x:c>
      <x:c r="Y11" s="9" t="str">
        <x:v>Unavailable; no usable report</x:v>
      </x:c>
      <x:c r="Z11" s="9" t="str">
        <x:v>Unavailable; no usable report</x:v>
      </x:c>
    </x:row>
    <x:row r="12" ht="36" customHeight="1">
      <x:c r="A12" s="4" t="n">
        <x:v>7</x:v>
      </x:c>
      <x:c r="B12" s="4" t="str">
        <x:v>Newly introduced dataset-rule pairs</x:v>
      </x:c>
      <x:c r="C12" s="4" t="str">
        <x:v>New 0; resolved 2; persistent 24</x:v>
      </x:c>
      <x:c r="D12" s="4" t="str">
        <x:v>Not applicable: no repair phase</x:v>
      </x:c>
      <x:c r="E12" s="4" t="str">
        <x:v>New 0; resolved 0; persistent 26</x:v>
      </x:c>
      <x:c r="F12" s="4" t="str">
        <x:v>New 0; resolved 2; persistent 24</x:v>
      </x:c>
      <x:c r="G12" s="4" t="str">
        <x:v>Not applicable: no repair phase</x:v>
      </x:c>
      <x:c r="H12" s="4" t="str">
        <x:v>New 0; resolved 0; persistent 26</x:v>
      </x:c>
      <x:c r="I12" s="4" t="str">
        <x:v>New 0; resolved 34; persistent 15</x:v>
      </x:c>
      <x:c r="J12" s="4" t="str">
        <x:v>Not applicable: no repair phase</x:v>
      </x:c>
      <x:c r="K12" s="4" t="str">
        <x:v>New 10; resolved 16; persistent 48</x:v>
      </x:c>
      <x:c r="L12" s="4" t="str">
        <x:v>New 0; resolved 23; persistent 24</x:v>
      </x:c>
      <x:c r="M12" s="4" t="str">
        <x:v>Not applicable: no repair phase</x:v>
      </x:c>
      <x:c r="N12" s="4" t="str">
        <x:v>New 0; resolved 3; persistent 25</x:v>
      </x:c>
      <x:c r="O12" s="4" t="str">
        <x:v>Not applicable: no repair phase</x:v>
      </x:c>
      <x:c r="P12" s="4" t="str">
        <x:v>Not applicable: no repair phase</x:v>
      </x:c>
      <x:c r="Q12" s="4" t="str">
        <x:v>Not applicable: no repair phase</x:v>
      </x:c>
      <x:c r="R12" s="4" t="str">
        <x:v>Not applicable: no repair phase</x:v>
      </x:c>
      <x:c r="S12" s="4" t="str">
        <x:v>Unavailable</x:v>
      </x:c>
      <x:c r="T12" s="4" t="str">
        <x:v>Unavailable</x:v>
      </x:c>
      <x:c r="U12" s="4" t="str">
        <x:v>Not applicable: no repair phase</x:v>
      </x:c>
      <x:c r="V12" s="4" t="str">
        <x:v>Unavailable</x:v>
      </x:c>
      <x:c r="W12" s="4" t="str">
        <x:v>Unavailable</x:v>
      </x:c>
      <x:c r="X12" s="4" t="str">
        <x:v>Not applicable: no repair phase</x:v>
      </x:c>
      <x:c r="Y12" s="4" t="str">
        <x:v>Unavailable</x:v>
      </x:c>
      <x:c r="Z12" s="4" t="str">
        <x:v>Unavailable</x:v>
      </x:c>
    </x:row>
    <x:row r="13" ht="40" customHeight="1">
      <x:c r="A13" s="9" t="n">
        <x:v>8</x:v>
      </x:c>
      <x:c r="B13" s="9" t="str">
        <x:v>NPI summary errors / assessed records</x:v>
      </x:c>
      <x:c r="C13" s="9" t="str">
        <x:v>Initial: 0/234 errors/assessed; Final: 0/234 errors/assessed</x:v>
      </x:c>
      <x:c r="D13" s="9" t="str">
        <x:v>Initial: 0/234 errors/assessed</x:v>
      </x:c>
      <x:c r="E13" s="9" t="str">
        <x:v>Initial: 0/234 errors/assessed; Final: 0/234 errors/assessed</x:v>
      </x:c>
      <x:c r="F13" s="9" t="str">
        <x:v>Initial: 0/254 errors/assessed; Final: 0/254 errors/assessed</x:v>
      </x:c>
      <x:c r="G13" s="9" t="str">
        <x:v>Initial: 0/234 errors/assessed</x:v>
      </x:c>
      <x:c r="H13" s="9" t="str">
        <x:v>Initial: 0/234 errors/assessed; Final: 0/234 errors/assessed</x:v>
      </x:c>
      <x:c r="I13" s="9" t="str">
        <x:v>Initial: Unavailable (assessed 0); Final: Unavailable (assessed 0)</x:v>
      </x:c>
      <x:c r="J13" s="9" t="str">
        <x:v>Initial: Unavailable (assessed 0)</x:v>
      </x:c>
      <x:c r="K13" s="9" t="str">
        <x:v>Initial: Unavailable (assessed 0); Final: Unavailable (assessed 0)</x:v>
      </x:c>
      <x:c r="L13" s="9" t="str">
        <x:v>Initial: 0/234 errors/assessed; Final: 0/234 errors/assessed</x:v>
      </x:c>
      <x:c r="M13" s="9" t="str">
        <x:v>Initial: 0/254 errors/assessed</x:v>
      </x:c>
      <x:c r="N13" s="9" t="str">
        <x:v>Initial: 0/254 errors/assessed; Final: 0/254 errors/assessed</x:v>
      </x:c>
      <x:c r="O13" s="9" t="str">
        <x:v>Initial: Unavailable (assessed 0)</x:v>
      </x:c>
      <x:c r="P13" s="9" t="str">
        <x:v>Initial: Unavailable (assessed 0)</x:v>
      </x:c>
      <x:c r="Q13" s="9" t="str">
        <x:v>Initial: Unavailable (assessed 0)</x:v>
      </x:c>
      <x:c r="R13" s="9" t="str">
        <x:v>Initial: Unavailable (assessed None)</x:v>
      </x:c>
      <x:c r="S13" s="9" t="str">
        <x:v>Initial: Unavailable (assessed None); Final: Unavailable (assessed None)</x:v>
      </x:c>
      <x:c r="T13" s="9" t="str">
        <x:v>Initial: Unavailable (assessed None); Final: Unavailable (assessed None)</x:v>
      </x:c>
      <x:c r="U13" s="9" t="str">
        <x:v>Initial: Unavailable (assessed None)</x:v>
      </x:c>
      <x:c r="V13" s="9" t="str">
        <x:v>Initial: Unavailable (assessed None); Final: Unavailable (assessed None)</x:v>
      </x:c>
      <x:c r="W13" s="9" t="str">
        <x:v>Initial: Unavailable (assessed None); Final: Unavailable (assessed None)</x:v>
      </x:c>
      <x:c r="X13" s="9" t="str">
        <x:v>Initial: Unavailable (assessed None)</x:v>
      </x:c>
      <x:c r="Y13" s="9" t="str">
        <x:v>Initial: Unavailable (assessed None); Final: Unavailable (assessed None)</x:v>
      </x:c>
      <x:c r="Z13" s="9" t="str">
        <x:v>Initial: Unavailable (assessed None); Final: Unavailable (assessed None)</x:v>
      </x:c>
    </x:row>
    <x:row r="14" ht="40" customHeight="1">
      <x:c r="A14" s="4" t="n">
        <x:v>9</x:v>
      </x:c>
      <x:c r="B14" s="4" t="str">
        <x:v>NPI baseline errors / assessed records</x:v>
      </x:c>
      <x:c r="C14" s="4" t="str">
        <x:v>Initial: 0/234 errors/assessed; Final: 0/234 errors/assessed</x:v>
      </x:c>
      <x:c r="D14" s="4" t="str">
        <x:v>Initial: 0/234 errors/assessed</x:v>
      </x:c>
      <x:c r="E14" s="4" t="str">
        <x:v>Initial: 0/234 errors/assessed; Final: 0/234 errors/assessed</x:v>
      </x:c>
      <x:c r="F14" s="4" t="str">
        <x:v>Initial: 0/254 errors/assessed; Final: 0/254 errors/assessed</x:v>
      </x:c>
      <x:c r="G14" s="4" t="str">
        <x:v>Initial: 0/234 errors/assessed</x:v>
      </x:c>
      <x:c r="H14" s="4" t="str">
        <x:v>Initial: 0/234 errors/assessed; Final: 0/234 errors/assessed</x:v>
      </x:c>
      <x:c r="I14" s="4" t="str">
        <x:v>Initial: Unavailable (assessed 0); Final: Unavailable (assessed 0)</x:v>
      </x:c>
      <x:c r="J14" s="4" t="str">
        <x:v>Initial: Unavailable (assessed 0)</x:v>
      </x:c>
      <x:c r="K14" s="4" t="str">
        <x:v>Initial: Unavailable (assessed 0); Final: Unavailable (assessed 0)</x:v>
      </x:c>
      <x:c r="L14" s="4" t="str">
        <x:v>Initial: 0/234 errors/assessed; Final: 0/234 errors/assessed</x:v>
      </x:c>
      <x:c r="M14" s="4" t="str">
        <x:v>Initial: 0/254 errors/assessed</x:v>
      </x:c>
      <x:c r="N14" s="4" t="str">
        <x:v>Initial: 0/254 errors/assessed; Final: 0/254 errors/assessed</x:v>
      </x:c>
      <x:c r="O14" s="4" t="str">
        <x:v>Initial: Unavailable (assessed 0)</x:v>
      </x:c>
      <x:c r="P14" s="4" t="str">
        <x:v>Initial: Unavailable (assessed 0)</x:v>
      </x:c>
      <x:c r="Q14" s="4" t="str">
        <x:v>Initial: Unavailable (assessed 0)</x:v>
      </x:c>
      <x:c r="R14" s="4" t="str">
        <x:v>Initial: Unavailable (assessed None)</x:v>
      </x:c>
      <x:c r="S14" s="4" t="str">
        <x:v>Initial: Unavailable (assessed None); Final: Unavailable (assessed None)</x:v>
      </x:c>
      <x:c r="T14" s="4" t="str">
        <x:v>Initial: Unavailable (assessed None); Final: Unavailable (assessed None)</x:v>
      </x:c>
      <x:c r="U14" s="4" t="str">
        <x:v>Initial: Unavailable (assessed None)</x:v>
      </x:c>
      <x:c r="V14" s="4" t="str">
        <x:v>Initial: Unavailable (assessed None); Final: Unavailable (assessed None)</x:v>
      </x:c>
      <x:c r="W14" s="4" t="str">
        <x:v>Initial: Unavailable (assessed None); Final: Unavailable (assessed None)</x:v>
      </x:c>
      <x:c r="X14" s="4" t="str">
        <x:v>Initial: Unavailable (assessed None)</x:v>
      </x:c>
      <x:c r="Y14" s="4" t="str">
        <x:v>Initial: Unavailable (assessed None); Final: Unavailable (assessed None)</x:v>
      </x:c>
      <x:c r="Z14" s="4" t="str">
        <x:v>Initial: Unavailable (assessed None); Final: Unavailable (assessed None)</x:v>
      </x:c>
    </x:row>
    <x:row r="15" ht="40" customHeight="1">
      <x:c r="A15" s="9" t="n">
        <x:v>10</x:v>
      </x:c>
      <x:c r="B15" s="9" t="str">
        <x:v>TTE linkage errors / assessed records</x:v>
      </x:c>
      <x:c r="C15" s="9" t="str">
        <x:v>Initial: 0/152 errors/assessed; Final: 0/152 errors/assessed</x:v>
      </x:c>
      <x:c r="D15" s="9" t="str">
        <x:v>Initial: 0/152 errors/assessed</x:v>
      </x:c>
      <x:c r="E15" s="9" t="str">
        <x:v>Initial: 0/152 errors/assessed; Final: 0/152 errors/assessed</x:v>
      </x:c>
      <x:c r="F15" s="9" t="str">
        <x:v>Initial: 0/152 errors/assessed; Final: 0/152 errors/assessed</x:v>
      </x:c>
      <x:c r="G15" s="9" t="str">
        <x:v>Initial: 0/152 errors/assessed</x:v>
      </x:c>
      <x:c r="H15" s="9" t="str">
        <x:v>Initial: 0/152 errors/assessed; Final: 0/152 errors/assessed</x:v>
      </x:c>
      <x:c r="I15" s="9" t="str">
        <x:v>Initial: Unavailable (assessed 0); Final: Unavailable (assessed 0)</x:v>
      </x:c>
      <x:c r="J15" s="9" t="str">
        <x:v>Initial: Unavailable (assessed None)</x:v>
      </x:c>
      <x:c r="K15" s="9" t="str">
        <x:v>Initial: Unavailable (assessed None); Final: Unavailable (assessed 0)</x:v>
      </x:c>
      <x:c r="L15" s="9" t="str">
        <x:v>Initial: 0/152 errors/assessed; Final: 0/152 errors/assessed</x:v>
      </x:c>
      <x:c r="M15" s="9" t="str">
        <x:v>Initial: 0/152 errors/assessed</x:v>
      </x:c>
      <x:c r="N15" s="9" t="str">
        <x:v>Initial: 0/152 errors/assessed; Final: 0/152 errors/assessed</x:v>
      </x:c>
      <x:c r="O15" s="9" t="str">
        <x:v>Initial: Unavailable (assessed 0)</x:v>
      </x:c>
      <x:c r="P15" s="9" t="str">
        <x:v>Initial: Unavailable (assessed None)</x:v>
      </x:c>
      <x:c r="Q15" s="9" t="str">
        <x:v>Initial: Unavailable (assessed None)</x:v>
      </x:c>
      <x:c r="R15" s="9" t="str">
        <x:v>Initial: Unavailable (assessed None)</x:v>
      </x:c>
      <x:c r="S15" s="9" t="str">
        <x:v>Initial: Unavailable (assessed None); Final: Unavailable (assessed None)</x:v>
      </x:c>
      <x:c r="T15" s="9" t="str">
        <x:v>Initial: Unavailable (assessed None); Final: Unavailable (assessed None)</x:v>
      </x:c>
      <x:c r="U15" s="9" t="str">
        <x:v>Initial: Unavailable (assessed None)</x:v>
      </x:c>
      <x:c r="V15" s="9" t="str">
        <x:v>Initial: Unavailable (assessed None); Final: Unavailable (assessed None)</x:v>
      </x:c>
      <x:c r="W15" s="9" t="str">
        <x:v>Initial: Unavailable (assessed None); Final: Unavailable (assessed None)</x:v>
      </x:c>
      <x:c r="X15" s="9" t="str">
        <x:v>Initial: Unavailable (assessed None)</x:v>
      </x:c>
      <x:c r="Y15" s="9" t="str">
        <x:v>Initial: Unavailable (assessed None); Final: Unavailable (assessed None)</x:v>
      </x:c>
      <x:c r="Z15" s="9" t="str">
        <x:v>Initial: Unavailable (assessed None); Final: Unavailable (assessed None)</x:v>
      </x:c>
    </x:row>
    <x:row r="16" ht="54" customHeight="1">
      <x:c r="A16" s="4" t="n">
        <x:v>11</x:v>
      </x:c>
      <x:c r="B16" s="4" t="str">
        <x:v>Missing extra and duplicate expected records</x:v>
      </x:c>
      <x:c r="C16" s="4" t="str">
        <x:v>Initial NPI: missing 0, extra 0, duplicates 0; Initial TTE: missing 0, extra 0, duplicates 0; Final NPI: missing 0, extra 0, duplicates 0; Final TTE: missing 0, extra 0, duplicates 0</x:v>
      </x:c>
      <x:c r="D16" s="4" t="str">
        <x:v>Initial NPI: missing 0, extra 0, duplicates 0; Initial TTE: missing 0, extra 0, duplicates 0</x:v>
      </x:c>
      <x:c r="E16" s="4" t="str">
        <x:v>Initial NPI: missing 0, extra 0, duplicates 0; Initial TTE: missing 0, extra 0, duplicates 0; Final NPI: missing 0, extra 0, duplicates 0; Final TTE: missing 0, extra 0, duplicates 0</x:v>
      </x:c>
      <x:c r="F16" s="4" t="str">
        <x:v>Initial NPI: missing 0, extra 20, duplicates 0; Initial TTE: missing 0, extra 0, duplicates 0; Final NPI: missing 0, extra 20, duplicates 0; Final TTE: missing 0, extra 0, duplicates 0</x:v>
      </x:c>
      <x:c r="G16" s="4" t="str">
        <x:v>Initial NPI: missing 0, extra 0, duplicates 0; Initial TTE: missing 0, extra 0, duplicates 0</x:v>
      </x:c>
      <x:c r="H16" s="4" t="str">
        <x:v>Initial NPI: missing 0, extra 0, duplicates 0; Initial TTE: missing 0, extra 0, duplicates 0; Final NPI: missing 0, extra 0, duplicates 0; Final TTE: missing 0, extra 0, duplicates 0</x:v>
      </x:c>
      <x:c r="I16" s="4" t="str">
        <x:v>Initial NPI: missing 234, extra 0, duplicates 0; Initial TTE: missing 254, extra 0, duplicates 0; Final NPI: missing 234, extra 0, duplicates 0; Final TTE: missing 0, extra 0, duplicates 0</x:v>
      </x:c>
      <x:c r="J16" s="4" t="str">
        <x:v>Initial NPI: missing 234, extra 0, duplicates 0; Initial TTE: missing 254, extra 0, duplicates 0</x:v>
      </x:c>
      <x:c r="K16" s="4" t="str">
        <x:v>Initial NPI: missing 234, extra 0, duplicates 0; Initial TTE: missing 254, extra 0, duplicates 0; Final NPI: missing 234, extra 0, duplicates 0; Final TTE: missing 254, extra 0, duplicates 0</x:v>
      </x:c>
      <x:c r="L16" s="4" t="str">
        <x:v>Initial NPI: missing 0, extra 0, duplicates 0; Initial TTE: missing 0, extra 0, duplicates 0; Final NPI: missing 0, extra 0, duplicates 0; Final TTE: missing 0, extra 0, duplicates 0</x:v>
      </x:c>
      <x:c r="M16" s="4" t="str">
        <x:v>Initial NPI: missing 0, extra 20, duplicates 0; Initial TTE: missing 0, extra 0, duplicates 0</x:v>
      </x:c>
      <x:c r="N16" s="4" t="str">
        <x:v>Initial NPI: missing 0, extra 20, duplicates 0; Initial TTE: missing 0, extra 0, duplicates 0; Final NPI: missing 0, extra 20, duplicates 0; Final TTE: missing 0, extra 0, duplicates 0</x:v>
      </x:c>
      <x:c r="O16" s="4" t="str">
        <x:v>Initial NPI: missing 234, extra 0, duplicates 0; Initial TTE: missing 254, extra 0, duplicates 0</x:v>
      </x:c>
      <x:c r="P16" s="4" t="str">
        <x:v>Initial NPI: missing 234, extra 0, duplicates 0; Initial TTE: missing 254, extra 0, duplicates 0</x:v>
      </x:c>
      <x:c r="Q16" s="4" t="str">
        <x:v>Initial NPI: missing 234, extra 0, duplicates 0; Initial TTE: missing 254, extra 0, duplicates 0</x:v>
      </x:c>
      <x:c r="R16" s="4" t="str">
        <x:v>Initial NPI: Unavailable; Initial TTE: Unavailable</x:v>
      </x:c>
      <x:c r="S16" s="4" t="str">
        <x:v>Initial NPI: Unavailable; Initial TTE: Unavailable; Final NPI: Unavailable; Final TTE: Unavailable</x:v>
      </x:c>
      <x:c r="T16" s="4" t="str">
        <x:v>Initial NPI: Unavailable; Initial TTE: Unavailable; Final NPI: Unavailable; Final TTE: Unavailable</x:v>
      </x:c>
      <x:c r="U16" s="4" t="str">
        <x:v>Initial NPI: Unavailable; Initial TTE: Unavailable</x:v>
      </x:c>
      <x:c r="V16" s="4" t="str">
        <x:v>Initial NPI: Unavailable; Initial TTE: Unavailable; Final NPI: Unavailable; Final TTE: Unavailable</x:v>
      </x:c>
      <x:c r="W16" s="4" t="str">
        <x:v>Initial NPI: Unavailable; Initial TTE: Unavailable; Final NPI: Unavailable; Final TTE: Unavailable</x:v>
      </x:c>
      <x:c r="X16" s="4" t="str">
        <x:v>Initial NPI: Unavailable; Initial TTE: Unavailable</x:v>
      </x:c>
      <x:c r="Y16" s="4" t="str">
        <x:v>Initial NPI: Unavailable; Initial TTE: Unavailable; Final NPI: Unavailable; Final TTE: Unavailable</x:v>
      </x:c>
      <x:c r="Z16" s="4" t="str">
        <x:v>Initial NPI: Unavailable; Initial TTE: Unavailable; Final NPI: Unavailable; Final TTE: Unavailable</x:v>
      </x:c>
    </x:row>
    <x:row r="17" ht="40" customHeight="1">
      <x:c r="A17" s="9" t="n">
        <x:v>12</x:v>
      </x:c>
      <x:c r="B17" s="9" t="str">
        <x:v>Assessable checks / planned checks</x:v>
      </x:c>
      <x:c r="C17" s="9" t="str">
        <x:v>Initial: 10/10 planned checks; Final: 10/10 planned checks; applicable denominator not adjudicated</x:v>
      </x:c>
      <x:c r="D17" s="9" t="str">
        <x:v>Initial: 10/10 planned checks</x:v>
      </x:c>
      <x:c r="E17" s="9" t="str">
        <x:v>Initial: 10/10 planned checks; Final: 10/10 planned checks; applicable denominator not adjudicated</x:v>
      </x:c>
      <x:c r="F17" s="9" t="str">
        <x:v>Initial: 10/10 planned checks; Final: 10/10 planned checks; applicable denominator not adjudicated</x:v>
      </x:c>
      <x:c r="G17" s="9" t="str">
        <x:v>Initial: 10/10 planned checks</x:v>
      </x:c>
      <x:c r="H17" s="9" t="str">
        <x:v>Initial: 10/10 planned checks; Final: 10/10 planned checks; applicable denominator not adjudicated</x:v>
      </x:c>
      <x:c r="I17" s="9" t="str">
        <x:v>Initial: 2/10 planned checks; Final: 6/10 planned checks; applicable denominator not adjudicated</x:v>
      </x:c>
      <x:c r="J17" s="9" t="str">
        <x:v>Initial: 2/10 planned checks</x:v>
      </x:c>
      <x:c r="K17" s="9" t="str">
        <x:v>Initial: 2/10 planned checks; Final: 2/10 planned checks; applicable denominator not adjudicated</x:v>
      </x:c>
      <x:c r="L17" s="9" t="str">
        <x:v>Initial: 10/10 planned checks; Final: 10/10 planned checks; applicable denominator not adjudicated</x:v>
      </x:c>
      <x:c r="M17" s="9" t="str">
        <x:v>Initial: 10/10 planned checks</x:v>
      </x:c>
      <x:c r="N17" s="9" t="str">
        <x:v>Initial: 10/10 planned checks; Final: 10/10 planned checks; applicable denominator not adjudicated</x:v>
      </x:c>
      <x:c r="O17" s="9" t="str">
        <x:v>Initial: 2/10 planned checks</x:v>
      </x:c>
      <x:c r="P17" s="9" t="str">
        <x:v>Initial: 2/10 planned checks</x:v>
      </x:c>
      <x:c r="Q17" s="9" t="str">
        <x:v>Initial: 2/10 planned checks</x:v>
      </x:c>
      <x:c r="R17" s="9" t="str">
        <x:v>Initial: 0/10 planned checks</x:v>
      </x:c>
      <x:c r="S17" s="9" t="str">
        <x:v>Initial: 0/10 planned checks; Final: 0/10 planned checks; applicable denominator not adjudicated</x:v>
      </x:c>
      <x:c r="T17" s="9" t="str">
        <x:v>Initial: 0/10 planned checks; Final: 0/10 planned checks; applicable denominator not adjudicated</x:v>
      </x:c>
      <x:c r="U17" s="9" t="str">
        <x:v>Initial: 0/10 planned checks</x:v>
      </x:c>
      <x:c r="V17" s="9" t="str">
        <x:v>Initial: 0/10 planned checks; Final: 0/10 planned checks; applicable denominator not adjudicated</x:v>
      </x:c>
      <x:c r="W17" s="9" t="str">
        <x:v>Initial: 0/10 planned checks; Final: 0/10 planned checks; applicable denominator not adjudicated</x:v>
      </x:c>
      <x:c r="X17" s="9" t="str">
        <x:v>Initial: 0/10 planned checks</x:v>
      </x:c>
      <x:c r="Y17" s="9" t="str">
        <x:v>Initial: 0/10 planned checks; Final: 0/10 planned checks; applicable denominator not adjudicated</x:v>
      </x:c>
      <x:c r="Z17" s="9" t="str">
        <x:v>Initial: 0/10 planned checks; Final: 0/10 planned checks; applicable denominator not adjudicated</x:v>
      </x:c>
    </x:row>
    <x:row r="18" ht="40" customHeight="1">
      <x:c r="A18" s="4" t="n">
        <x:v>13</x:v>
      </x:c>
      <x:c r="B18" s="4" t="str">
        <x:v>Workflow API cost estimate in USD</x:v>
      </x:c>
      <x:c r="C18" s="4" t="str">
        <x:v>Generation $0.6930; repair $0.8180; total $1.5110 (estimate, not invoice)</x:v>
      </x:c>
      <x:c r="D18" s="4" t="str">
        <x:v>Generation $1.1069; repair not applicable; terminal cost $1.1069 (estimate, not invoice)</x:v>
      </x:c>
      <x:c r="E18" s="4" t="str">
        <x:v>Generation $1.1069; repair $1.3644; total $2.4713 (estimate, not invoice)</x:v>
      </x:c>
      <x:c r="F18" s="4" t="str">
        <x:v>Generation $5.2397; repair $1.0276; total $6.2673 (estimate, not invoice)</x:v>
      </x:c>
      <x:c r="G18" s="4" t="str">
        <x:v>Generation $4.8386; repair not applicable; terminal cost $4.8386 (estimate, not invoice)</x:v>
      </x:c>
      <x:c r="H18" s="4" t="str">
        <x:v>Generation $4.8386; repair $0.9634; total $5.8021 (estimate, not invoice)</x:v>
      </x:c>
      <x:c r="I18" s="4" t="str">
        <x:v>Generation $0.9010; repair $1.9698; total $2.8708 (estimate, not invoice)</x:v>
      </x:c>
      <x:c r="J18" s="4" t="str">
        <x:v>Generation $1.2768; repair not applicable; terminal cost $1.2768 (estimate, not invoice)</x:v>
      </x:c>
      <x:c r="K18" s="4" t="str">
        <x:v>Generation $1.2768; repair $1.7913; total $3.0682 (estimate, not invoice)</x:v>
      </x:c>
      <x:c r="L18" s="4" t="str">
        <x:v>Generation $0.3250; repair $0.1099; total $0.4349 (estimate, not invoice)</x:v>
      </x:c>
      <x:c r="M18" s="4" t="str">
        <x:v>Generation $0.4164; repair not applicable; terminal cost $0.4164 (estimate, not invoice)</x:v>
      </x:c>
      <x:c r="N18" s="4" t="str">
        <x:v>Generation $0.4164; repair $0.2047; total $0.6211 (estimate, not invoice)</x:v>
      </x:c>
      <x:c r="O18" s="4" t="str">
        <x:v>Generation $0.5592; repair not applicable; terminal cost $0.5592 (estimate, not invoice)</x:v>
      </x:c>
      <x:c r="P18" s="4" t="str">
        <x:v>Generation $0.7752; repair not applicable; terminal cost $0.7752 (estimate, not invoice)</x:v>
      </x:c>
      <x:c r="Q18" s="4" t="str">
        <x:v>Generation $0.7736; repair not applicable; terminal cost $0.7736 (estimate, not invoice)</x:v>
      </x:c>
      <x:c r="R18" s="4" t="str">
        <x:v>Generation $0.0010; repair not applicable; terminal cost $0.0010 (estimate, not invoice)</x:v>
      </x:c>
      <x:c r="S18" s="4" t="str">
        <x:v>Generation $0.0012; repair $0.0003; total $0.0015 (estimate, not invoice)</x:v>
      </x:c>
      <x:c r="T18" s="4" t="str">
        <x:v>Generation $0.0006; repair $0.0007; total $0.0013 (estimate, not invoice)</x:v>
      </x:c>
      <x:c r="U18" s="4" t="str">
        <x:v>Generation $0.0005; repair not applicable; terminal cost $0.0005 (estimate, not invoice)</x:v>
      </x:c>
      <x:c r="V18" s="4" t="str">
        <x:v>Generation $0.0005; repair $0.0003; total $0.0009 (estimate, not invoice)</x:v>
      </x:c>
      <x:c r="W18" s="4" t="str">
        <x:v>Generation $0.0008; repair $0.0003; total $0.0011 (estimate, not invoice)</x:v>
      </x:c>
      <x:c r="X18" s="4" t="str">
        <x:v>Generation $0.0013; repair not applicable; terminal cost $0.0013 (estimate, not invoice)</x:v>
      </x:c>
      <x:c r="Y18" s="4" t="str">
        <x:v>Generation $0.0007; repair $0.0007; total $0.0014 (estimate, not invoice)</x:v>
      </x:c>
      <x:c r="Z18" s="4" t="str">
        <x:v>Generation $0.0008; repair $0.0007; total $0.0014 (estimate, not invoice)</x:v>
      </x:c>
    </x:row>
    <x:row r="19" ht="138" customHeight="1">
      <x:c r="A19" s="9" t="n">
        <x:v>14</x:v>
      </x:c>
      <x:c r="B19" s="9" t="str">
        <x:v>Input and output tokens</x:v>
      </x:c>
      <x:c r="C19" s="9" t="str">
        <x:v>Generation: input 1,645,091; output 26,510; uncached 63; cache read 1,535,345; cache write 109,683; text output 23,767; reasoning 2,743
Repair: input 4,093,970; output 23,165; uncached 75; cache read 4,020,222; cache write 73,673; text output 16,626; reasoning 6,539
Total: input 5,739,061; output 49,675; uncached 138; cache read 5,555,567; cache write 183,356; text output 40,393; reasoning 9,282</x:v>
      </x:c>
      <x:c r="D19" s="9" t="str">
        <x:v>Generation: input 3,967,565; output 38,786; uncached 132; cache read 3,833,253; cache write 134,180; text output 32,383; reasoning 6,403; repair not applicable</x:v>
      </x:c>
      <x:c r="E19" s="9" t="str">
        <x:v>Generation: input 3,967,565; output 38,786; uncached 132; cache read 3,833,253; cache write 134,180; text output 32,383; reasoning 6,403
Repair: input 4,659,801; output 30,261; uncached 72; cache read 4,569,848; cache write 89,881; text output 16,053; reasoning 14,208
Total: input 8,627,366; output 69,047; uncached 204; cache read 8,403,101; cache write 224,061; text output 48,436; reasoning 20,611</x:v>
      </x:c>
      <x:c r="F19" s="9" t="str">
        <x:v>Generation: input 21,151,663; output 205,496; uncached 174; cache read 20,705,983; cache write 445,506; text output 112,884; reasoning 92,612
Repair: input 6,612,394; output 25,429; uncached 30; cache read 6,565,676; cache write 46,688; text output 8,756; reasoning 16,673
Total: input 27,764,057; output 230,925; uncached 204; cache read 27,271,659; cache write 492,194; text output 121,640; reasoning 109,285</x:v>
      </x:c>
      <x:c r="G19" s="9" t="str">
        <x:v>Generation: input 20,122,097; output 184,000; uncached 174; cache read 19,711,058; cache write 410,865; text output 95,443; reasoning 88,557; repair not applicable</x:v>
      </x:c>
      <x:c r="H19" s="9" t="str">
        <x:v>Generation: input 20,122,097; output 184,000; uncached 174; cache read 19,711,058; cache write 410,865; text output 95,443; reasoning 88,557
Repair: input 6,437,242; output 24,460; uncached 32; cache read 6,405,934; cache write 31,276; text output 8,022; reasoning 16,438
Total: input 26,559,339; output 208,460; uncached 206; cache read 26,116,992; cache write 442,141; text output 103,465; reasoning 104,995</x:v>
      </x:c>
      <x:c r="I19" s="9" t="str">
        <x:v>Generation: input 1,658,043; output 15,194; uncached 215,040; cache read 1,443,003; cache write 0; text output 8,764; reasoning 6,430
Repair: input 6,062,350; output 20,713; uncached 282,657; cache read 5,779,693; cache write 0; text output 13,244; reasoning 7,469
Total: input 7,720,393; output 35,907; uncached 497,697; cache read 7,222,696; cache write 0; text output 22,008; reasoning 13,899</x:v>
      </x:c>
      <x:c r="J19" s="9" t="str">
        <x:v>Generation: input 2,712,814; output 29,248; uncached 212,939; cache read 2,499,875; cache write 0; text output 19,122; reasoning 10,126; repair not applicable</x:v>
      </x:c>
      <x:c r="K19" s="9" t="str">
        <x:v>Generation: input 2,712,814; output 29,248; uncached 212,939; cache read 2,499,875; cache write 0; text output 19,122; reasoning 10,126
Repair: input 4,378,820; output 31,716; uncached 297,214; cache read 4,081,606; cache write 0; text output 25,015; reasoning 6,701
Total: input 7,091,634; output 60,964; uncached 510,153; cache read 6,581,481; cache write 0; text output 44,137; reasoning 16,827</x:v>
      </x:c>
      <x:c r="L19" s="9" t="str">
        <x:v>Generation: input 22,070,520; output 109,061; uncached 209,784; cache read 21,860,736; cache write 0; text output 46,986; reasoning 62,075
Repair: input 9,216,284; output 25,076; uncached 83,356; cache read 9,132,928; cache write 0; text output 6,527; reasoning 18,549
Total: input 31,286,804; output 134,137; uncached 293,140; cache read 30,993,664; cache write 0; text output 53,513; reasoning 80,624</x:v>
      </x:c>
      <x:c r="M19" s="9" t="str">
        <x:v>Generation: input 29,208,033; output 143,795; uncached 233,313; cache read 28,974,720; cache write 0; text output 67,691; reasoning 76,104; repair not applicable</x:v>
      </x:c>
      <x:c r="N19" s="9" t="str">
        <x:v>Generation: input 29,208,033; output 143,795; uncached 233,313; cache read 28,974,720; cache write 0; text output 67,691; reasoning 76,104
Repair: input 18,801,634; output 70,749; uncached 23,906; cache read 18,777,728; cache write 0; text output 16,187; reasoning 54,562
Total: input 48,009,667; output 214,544; uncached 257,219; cache read 47,752,448; cache write 0; text output 83,878; reasoning 130,666</x:v>
      </x:c>
      <x:c r="O19" s="9" t="str">
        <x:v>Generation: input 898,038; output 8,348; uncached 155,255; cache read 742,783; cache write 0; text output 4,472; reasoning 3,876; repair not applicable</x:v>
      </x:c>
      <x:c r="P19" s="9" t="str">
        <x:v>Generation: input 1,350,907; output 20,738; uncached 142,332; cache read 1,208,575; cache write 0; text output 16,319; reasoning 4,419; repair not applicable</x:v>
      </x:c>
      <x:c r="Q19" s="9" t="str">
        <x:v>Generation: input 1,738,628; output 12,908; uncached 150,529; cache read 1,588,099; cache write 0; text output 7,637; reasoning 5,271; repair not applicable</x:v>
      </x:c>
      <x:c r="R19" s="9" t="str">
        <x:v>Generation: input 25,057; output 1,481; uncached 25,057; cache read 0; cache write 0; text output 1,481; reasoning 0; repair not applicable</x:v>
      </x:c>
      <x:c r="S19" s="9" t="str">
        <x:v>Generation: input 27,581; output 2,930; uncached 27,581; cache read 0; cache write 0; text output 2,930; reasoning 0
Repair: input 8,715; output 70; uncached 8,715; cache read 0; cache write 0; text output 70; reasoning 0
Total: input 36,296; output 3,000; uncached 36,296; cache read 0; cache write 0; text output 3,000; reasoning 0</x:v>
      </x:c>
      <x:c r="T19" s="9" t="str">
        <x:v>Generation: input 18,216; output 329; uncached 18,216; cache read 0; cache write 0; text output 329; reasoning 0
Repair: input 15,622; output 1,764; uncached 15,622; cache read 0; cache write 0; text output 1,764; reasoning 0
Total: input 33,838; output 2,093; uncached 33,838; cache read 0; cache write 0; text output 2,093; reasoning 0</x:v>
      </x:c>
      <x:c r="U19" s="9" t="str">
        <x:v>Generation: input 12,605; output 190; uncached 12,605; cache read 0; cache write 0; text output 190; reasoning 0; repair not applicable</x:v>
      </x:c>
      <x:c r="V19" s="9" t="str">
        <x:v>Generation: input 13,493; output 260; uncached 13,493; cache read 0; cache write 0; text output 260; reasoning 0
Repair: input 8,070; output 65; uncached 8,070; cache read 0; cache write 0; text output 65; reasoning 0
Total: input 21,563; output 325; uncached 21,563; cache read 0; cache write 0; text output 325; reasoning 0</x:v>
      </x:c>
      <x:c r="W19" s="9" t="str">
        <x:v>Generation: input 19,867; output 545; uncached 19,867; cache read 0; cache write 0; text output 545; reasoning 0
Repair: input 8,328; output 65; uncached 8,328; cache read 0; cache write 0; text output 65; reasoning 0
Total: input 28,195; output 610; uncached 28,195; cache read 0; cache write 0; text output 610; reasoning 0</x:v>
      </x:c>
      <x:c r="X19" s="9" t="str">
        <x:v>Generation: input 13,172; output 70; uncached 13,172; cache read 0; cache write 0; text output 70; reasoning 0; repair not applicable</x:v>
      </x:c>
      <x:c r="Y19" s="9" t="str">
        <x:v>Generation: input 6,541; output 155; uncached 6,541; cache read 0; cache write 0; text output 155; reasoning 0
Repair: input 6,675; output 122; uncached 6,675; cache read 0; cache write 0; text output 122; reasoning 0
Total: input 13,216; output 277; uncached 13,216; cache read 0; cache write 0; text output 277; reasoning 0</x:v>
      </x:c>
      <x:c r="Z19" s="9" t="str">
        <x:v>Generation: input 6,541; output 342; uncached 6,541; cache read 0; cache write 0; text output 342; reasoning 0
Repair: input 6,619; output 94; uncached 6,619; cache read 0; cache write 0; text output 94; reasoning 0
Total: input 13,160; output 436; uncached 13,160; cache read 0; cache write 0; text output 436; reasoning 0</x:v>
      </x:c>
    </x:row>
    <x:row r="20" ht="40" customHeight="1">
      <x:c r="A20" s="4" t="n">
        <x:v>15</x:v>
      </x:c>
      <x:c r="B20" s="4" t="str">
        <x:v>End-to-end elapsed time in minutes</x:v>
      </x:c>
      <x:c r="C20" s="4" t="str">
        <x:v>End to end 56.15 min; agent total 47.91; generation 23.56; repair 24.35 min</x:v>
      </x:c>
      <x:c r="D20" s="4" t="str">
        <x:v>Initial-only end to end 38.61 min; generation agent 34.85 min; repair not applicable</x:v>
      </x:c>
      <x:c r="E20" s="4" t="str">
        <x:v>End to end 72.43 min; agent total 64.58; generation 34.85; repair 29.72 min</x:v>
      </x:c>
      <x:c r="F20" s="4" t="str">
        <x:v>End to end 38.52 min; agent total 34.08; generation 29.30; repair 4.78 min</x:v>
      </x:c>
      <x:c r="G20" s="4" t="str">
        <x:v>Initial-only end to end 29.67 min; generation agent 27.13 min; repair not applicable</x:v>
      </x:c>
      <x:c r="H20" s="4" t="str">
        <x:v>End to end 37.57 min; agent total 32.63; generation 27.13; repair 5.50 min</x:v>
      </x:c>
      <x:c r="I20" s="4" t="str">
        <x:v>End to end 39.49 min; agent total 36.36; generation 21.71; repair 14.65 min</x:v>
      </x:c>
      <x:c r="J20" s="4" t="str">
        <x:v>Initial-only end to end 18.03 min; generation agent 16.63 min; repair not applicable</x:v>
      </x:c>
      <x:c r="K20" s="4" t="str">
        <x:v>End to end 46.20 min; agent total 43.44; generation 16.63; repair 26.80 min</x:v>
      </x:c>
      <x:c r="L20" s="4" t="str">
        <x:v>End to end 58.32 min; agent total 50.05; generation 35.79; repair 14.26 min</x:v>
      </x:c>
      <x:c r="M20" s="4" t="str">
        <x:v>Initial-only end to end 54.97 min; generation agent 52.52 min; repair not applicable</x:v>
      </x:c>
      <x:c r="N20" s="4" t="str">
        <x:v>End to end 87.80 min; agent total 82.90; generation 52.52; repair 30.38 min</x:v>
      </x:c>
      <x:c r="O20" s="4" t="str">
        <x:v>Initial-only end to end 5.03 min; generation agent 3.92 min; repair not applicable</x:v>
      </x:c>
      <x:c r="P20" s="4" t="str">
        <x:v>Initial-only end to end 13.12 min; generation agent 11.29 min; repair not applicable</x:v>
      </x:c>
      <x:c r="Q20" s="4" t="str">
        <x:v>Initial-only end to end 19.67 min; generation agent 17.81 min; repair not applicable</x:v>
      </x:c>
      <x:c r="R20" s="4" t="str">
        <x:v>Initial-only end to end 0.67 min; generation agent 0.29 min; repair not applicable</x:v>
      </x:c>
      <x:c r="S20" s="4" t="str">
        <x:v>End to end 1.25 min; agent total 0.64; generation 0.57; repair 0.07 min</x:v>
      </x:c>
      <x:c r="T20" s="4" t="str">
        <x:v>End to end 1.09 min; agent total 0.50; generation 0.12; repair 0.38 min</x:v>
      </x:c>
      <x:c r="U20" s="4" t="str">
        <x:v>Initial-only end to end 0.53 min; generation agent 0.11 min; repair not applicable</x:v>
      </x:c>
      <x:c r="V20" s="4" t="str">
        <x:v>End to end 0.99 min; agent total 0.26; generation 0.15; repair 0.11 min</x:v>
      </x:c>
      <x:c r="W20" s="4" t="str">
        <x:v>End to end 1.05 min; agent total 0.39; generation 0.26; repair 0.13 min</x:v>
      </x:c>
      <x:c r="X20" s="4" t="str">
        <x:v>Initial-only end to end 0.47 min; generation agent 0.12 min; repair not applicable</x:v>
      </x:c>
      <x:c r="Y20" s="4" t="str">
        <x:v>End to end 0.86 min; agent total 0.33; generation 0.17; repair 0.16 min</x:v>
      </x:c>
      <x:c r="Z20" s="4" t="str">
        <x:v>End to end 0.86 min; agent total 0.34; generation 0.23; repair 0.10 min</x:v>
      </x:c>
    </x:row>
    <x:row r="21" ht="40" customHeight="1">
      <x:c r="A21" s="9" t="n">
        <x:v>16</x:v>
      </x:c>
      <x:c r="B21" s="9" t="str">
        <x:v>Tool calls and failed tool calls</x:v>
      </x:c>
      <x:c r="C21" s="9" t="str">
        <x:v>Generation: 27 calls, 0 failed; Repair: 26 calls, 0 failed; total 53 calls, 0 failed</x:v>
      </x:c>
      <x:c r="D21" s="9" t="str">
        <x:v>Generation 50 calls, 1 failed; repair not applicable</x:v>
      </x:c>
      <x:c r="E21" s="9" t="str">
        <x:v>Generation: 50 calls, 1 failed; Repair: 30 calls, 0 failed; total 80 calls, 1 failed</x:v>
      </x:c>
      <x:c r="F21" s="9" t="str">
        <x:v>Generation: 86 calls, 0 failed; Repair: 13 calls, 0 failed; total 99 calls, 0 failed</x:v>
      </x:c>
      <x:c r="G21" s="9" t="str">
        <x:v>Generation 85 calls, 0 failed; repair not applicable</x:v>
      </x:c>
      <x:c r="H21" s="9" t="str">
        <x:v>Generation: 85 calls, 0 failed; Repair: 14 calls, 0 failed; total 99 calls, 0 failed</x:v>
      </x:c>
      <x:c r="I21" s="9" t="str">
        <x:v>Generation: 57 calls, 0 failed; Repair: 90 calls, 1 failed; total 147 calls, 1 failed</x:v>
      </x:c>
      <x:c r="J21" s="9" t="str">
        <x:v>Generation 75 calls, 0 failed; repair not applicable</x:v>
      </x:c>
      <x:c r="K21" s="9" t="str">
        <x:v>Generation: 75 calls, 0 failed; Repair: 51 calls, 0 failed; total 126 calls, 0 failed</x:v>
      </x:c>
      <x:c r="L21" s="9" t="str">
        <x:v>Generation: 107 calls, 0 failed; Repair: 23 calls, 0 failed; total 130 calls, 0 failed</x:v>
      </x:c>
      <x:c r="M21" s="9" t="str">
        <x:v>Generation 137 calls, 0 failed; repair not applicable</x:v>
      </x:c>
      <x:c r="N21" s="9" t="str">
        <x:v>Generation: 137 calls, 0 failed; Repair: 48 calls, 0 failed; total 185 calls, 0 failed</x:v>
      </x:c>
      <x:c r="O21" s="9" t="str">
        <x:v>Generation 36 calls, 0 failed; repair not applicable</x:v>
      </x:c>
      <x:c r="P21" s="9" t="str">
        <x:v>Generation 39 calls, 0 failed; repair not applicable</x:v>
      </x:c>
      <x:c r="Q21" s="9" t="str">
        <x:v>Generation 45 calls, 0 failed; repair not applicable</x:v>
      </x:c>
      <x:c r="R21" s="9" t="str">
        <x:v>Generation 3 calls, 0 failed; repair not applicable</x:v>
      </x:c>
      <x:c r="S21" s="9" t="str">
        <x:v>Generation: 3 calls, 2 failed; Repair: 0 calls, 0 failed; total 3 calls, 2 failed</x:v>
      </x:c>
      <x:c r="T21" s="9" t="str">
        <x:v>Generation: 2 calls, 0 failed; Repair: 1 calls, 0 failed; total 3 calls, 0 failed</x:v>
      </x:c>
      <x:c r="U21" s="9" t="str">
        <x:v>Generation 1 calls, 0 failed; repair not applicable</x:v>
      </x:c>
      <x:c r="V21" s="9" t="str">
        <x:v>Generation: 1 calls, 0 failed; Repair: 0 calls, 0 failed; total 1 calls, 0 failed</x:v>
      </x:c>
      <x:c r="W21" s="9" t="str">
        <x:v>Generation: 2 calls, 0 failed; Repair: 0 calls, 0 failed; total 2 calls, 0 failed</x:v>
      </x:c>
      <x:c r="X21" s="9" t="str">
        <x:v>Generation 2 calls, 2 failed; repair not applicable</x:v>
      </x:c>
      <x:c r="Y21" s="9" t="str">
        <x:v>Generation: 0 calls, 0 failed; Repair: 0 calls, 0 failed; total 0 calls, 0 failed</x:v>
      </x:c>
      <x:c r="Z21" s="9" t="str">
        <x:v>Generation: 0 calls, 0 failed; Repair: 0 calls, 0 failed; total 0 calls, 0 failed</x:v>
      </x:c>
    </x:row>
    <x:row r="22" ht="40" customHeight="1">
      <x:c r="A22" s="4" t="n">
        <x:v>17</x:v>
      </x:c>
      <x:c r="B22" s="4" t="str">
        <x:v>Dataset Delivery Rate</x:v>
      </x:c>
      <x:c r="C22" s="4" t="str">
        <x:v>Initial: 13/13 (100.0%)
Final: 13/13 (100.0%)</x:v>
      </x:c>
      <x:c r="D22" s="4" t="str">
        <x:v>Initial/terminal: 13/13 (100.0%)</x:v>
      </x:c>
      <x:c r="E22" s="4" t="str">
        <x:v>Initial: 13/13 (100.0%)
Final: 13/13 (100.0%)</x:v>
      </x:c>
      <x:c r="F22" s="4" t="str">
        <x:v>Initial: 13/13 (100.0%)
Final: 13/13 (100.0%)</x:v>
      </x:c>
      <x:c r="G22" s="4" t="str">
        <x:v>Initial/terminal: 13/13 (100.0%)</x:v>
      </x:c>
      <x:c r="H22" s="4" t="str">
        <x:v>Initial: 13/13 (100.0%)
Final: 13/13 (100.0%)</x:v>
      </x:c>
      <x:c r="I22" s="4" t="str">
        <x:v>Initial: 13/13 (100.0%)
Final: 13/13 (100.0%)</x:v>
      </x:c>
      <x:c r="J22" s="4" t="str">
        <x:v>Initial/terminal: 13/13 (100.0%)</x:v>
      </x:c>
      <x:c r="K22" s="4" t="str">
        <x:v>Initial: 13/13 (100.0%)
Final: 13/13 (100.0%)</x:v>
      </x:c>
      <x:c r="L22" s="4" t="str">
        <x:v>Initial: 13/13 (100.0%)
Final: 13/13 (100.0%)</x:v>
      </x:c>
      <x:c r="M22" s="4" t="str">
        <x:v>Initial/terminal: 13/13 (100.0%)</x:v>
      </x:c>
      <x:c r="N22" s="4" t="str">
        <x:v>Initial: 13/13 (100.0%)
Final: 13/13 (100.0%)</x:v>
      </x:c>
      <x:c r="O22" s="4" t="str">
        <x:v>Initial/terminal: 13/13 (100.0%)</x:v>
      </x:c>
      <x:c r="P22" s="4" t="str">
        <x:v>Initial/terminal: 13/13 (100.0%)</x:v>
      </x:c>
      <x:c r="Q22" s="4" t="str">
        <x:v>Initial/terminal: 13/13 (100.0%)</x:v>
      </x:c>
      <x:c r="R22" s="4" t="str">
        <x:v>Initial/terminal: 0/13 (0.0%)</x:v>
      </x:c>
      <x:c r="S22" s="4" t="str">
        <x:v>Initial: 0/13 (0.0%)
Final: 0/13 (0.0%)</x:v>
      </x:c>
      <x:c r="T22" s="4" t="str">
        <x:v>Initial: 0/13 (0.0%)
Final: 0/13 (0.0%)</x:v>
      </x:c>
      <x:c r="U22" s="4" t="str">
        <x:v>Initial/terminal: 0/13 (0.0%)</x:v>
      </x:c>
      <x:c r="V22" s="4" t="str">
        <x:v>Initial: 0/13 (0.0%)
Final: 0/13 (0.0%)</x:v>
      </x:c>
      <x:c r="W22" s="4" t="str">
        <x:v>Initial: 0/13 (0.0%)
Final: 0/13 (0.0%)</x:v>
      </x:c>
      <x:c r="X22" s="4" t="str">
        <x:v>Initial/terminal: 0/13 (0.0%)</x:v>
      </x:c>
      <x:c r="Y22" s="4" t="str">
        <x:v>Initial: 0/13 (0.0%)
Final: 0/13 (0.0%)</x:v>
      </x:c>
      <x:c r="Z22" s="4" t="str">
        <x:v>Initial: 0/13 (0.0%)
Final: 0/13 (0.0%)</x:v>
      </x:c>
    </x:row>
    <x:row r="23" ht="40" customHeight="1">
      <x:c r="A23" s="9" t="n">
        <x:v>18</x:v>
      </x:c>
      <x:c r="B23" s="9" t="str">
        <x:v>Variable Coverage</x:v>
      </x:c>
      <x:c r="C23" s="9" t="str">
        <x:v>Initial: 531/531 (100.0%)
Final: 531/531 (100.0%)</x:v>
      </x:c>
      <x:c r="D23" s="9" t="str">
        <x:v>Initial/terminal: 531/531 (100.0%)</x:v>
      </x:c>
      <x:c r="E23" s="9" t="str">
        <x:v>Initial: 531/531 (100.0%)
Final: 531/531 (100.0%)</x:v>
      </x:c>
      <x:c r="F23" s="9" t="str">
        <x:v>Initial: 531/531 (100.0%)
Final: 531/531 (100.0%)</x:v>
      </x:c>
      <x:c r="G23" s="9" t="str">
        <x:v>Initial/terminal: 531/531 (100.0%)</x:v>
      </x:c>
      <x:c r="H23" s="9" t="str">
        <x:v>Initial: 531/531 (100.0%)
Final: 531/531 (100.0%)</x:v>
      </x:c>
      <x:c r="I23" s="9" t="str">
        <x:v>Initial: 531/531 (100.0%)
Final: 531/531 (100.0%)</x:v>
      </x:c>
      <x:c r="J23" s="9" t="str">
        <x:v>Initial/terminal: 422/531 (79.5%)</x:v>
      </x:c>
      <x:c r="K23" s="9" t="str">
        <x:v>Initial: 422/531 (79.5%)
Final: 436/531 (82.1%)</x:v>
      </x:c>
      <x:c r="L23" s="9" t="str">
        <x:v>Initial: 531/531 (100.0%)
Final: 531/531 (100.0%)</x:v>
      </x:c>
      <x:c r="M23" s="9" t="str">
        <x:v>Initial/terminal: 531/531 (100.0%)</x:v>
      </x:c>
      <x:c r="N23" s="9" t="str">
        <x:v>Initial: 531/531 (100.0%)
Final: 531/531 (100.0%)</x:v>
      </x:c>
      <x:c r="O23" s="9" t="str">
        <x:v>Initial/terminal: 289/531 (54.4%)</x:v>
      </x:c>
      <x:c r="P23" s="9" t="str">
        <x:v>Initial/terminal: 340/531 (64.0%)</x:v>
      </x:c>
      <x:c r="Q23" s="9" t="str">
        <x:v>Initial/terminal: 384/531 (72.3%)</x:v>
      </x:c>
      <x:c r="R23" s="9" t="str">
        <x:v>Initial/terminal: 0/531 (0.0%)</x:v>
      </x:c>
      <x:c r="S23" s="9" t="str">
        <x:v>Initial: 0/531 (0.0%)
Final: 0/531 (0.0%)</x:v>
      </x:c>
      <x:c r="T23" s="9" t="str">
        <x:v>Initial: 0/531 (0.0%)
Final: 0/531 (0.0%)</x:v>
      </x:c>
      <x:c r="U23" s="9" t="str">
        <x:v>Initial/terminal: 0/531 (0.0%)</x:v>
      </x:c>
      <x:c r="V23" s="9" t="str">
        <x:v>Initial: 0/531 (0.0%)
Final: 0/531 (0.0%)</x:v>
      </x:c>
      <x:c r="W23" s="9" t="str">
        <x:v>Initial: 0/531 (0.0%)
Final: 0/531 (0.0%)</x:v>
      </x:c>
      <x:c r="X23" s="9" t="str">
        <x:v>Initial/terminal: 0/531 (0.0%)</x:v>
      </x:c>
      <x:c r="Y23" s="9" t="str">
        <x:v>Initial: 0/531 (0.0%)
Final: 0/531 (0.0%)</x:v>
      </x:c>
      <x:c r="Z23" s="9" t="str">
        <x:v>Initial: 0/531 (0.0%)
Final: 0/531 (0.0%)</x:v>
      </x:c>
    </x:row>
    <x:row r="24" ht="68" customHeight="1">
      <x:c r="A24" s="4" t="n">
        <x:v>19</x:v>
      </x:c>
      <x:c r="B24" s="4" t="str">
        <x:v>Failure-stage distribution</x:v>
      </x:c>
      <x:c r="C24" s="4" t="str">
        <x:v>Initial: Failed: code_execution
Final: Failed: code_execution</x:v>
      </x:c>
      <x:c r="D24" s="4" t="str">
        <x:v>Initial/terminal: Failed: code_execution; unclassified tool errors: 1</x:v>
      </x:c>
      <x:c r="E24" s="4" t="str">
        <x:v>Initial: Failed: code_execution; unclassified tool errors: 1
Final: Failed: p21_validation</x:v>
      </x:c>
      <x:c r="F24" s="4" t="str">
        <x:v>Initial: Failed: code_execution
Final: Failed: none observed</x:v>
      </x:c>
      <x:c r="G24" s="4" t="str">
        <x:v>Initial/terminal: Failed: code_execution</x:v>
      </x:c>
      <x:c r="H24" s="4" t="str">
        <x:v>Initial: Failed: code_execution
Final: Failed: none observed</x:v>
      </x:c>
      <x:c r="I24" s="4" t="str">
        <x:v>Initial: Failed: code_execution; unclassified tool errors: 2
Final: Failed: code_execution; unclassified tool errors: 1</x:v>
      </x:c>
      <x:c r="J24" s="4" t="str">
        <x:v>Initial/terminal: Failed: code_execution</x:v>
      </x:c>
      <x:c r="K24" s="4" t="str">
        <x:v>Initial: Failed: code_execution
Final: Failed: code_execution, rebuilding</x:v>
      </x:c>
      <x:c r="L24" s="4" t="str">
        <x:v>Initial: Failed: code_execution
Final: Failed: none observed</x:v>
      </x:c>
      <x:c r="M24" s="4" t="str">
        <x:v>Initial/terminal: Failed: code_execution</x:v>
      </x:c>
      <x:c r="N24" s="4" t="str">
        <x:v>Initial: Failed: code_execution
Final: Failed: code_execution</x:v>
      </x:c>
      <x:c r="O24" s="4" t="str">
        <x:v>Initial/terminal: Failed: code_execution; unclassified tool errors: 1</x:v>
      </x:c>
      <x:c r="P24" s="4" t="str">
        <x:v>Initial/terminal: Failed: code_execution; unclassified tool errors: 1</x:v>
      </x:c>
      <x:c r="Q24" s="4" t="str">
        <x:v>Initial/terminal: Failed: rebuilding; unclassified tool errors: 2</x:v>
      </x:c>
      <x:c r="R24" s="4" t="str">
        <x:v>Initial/terminal: Failed: dataset_export, define_xml_generation, rebuilding; Blocked: p21_validation</x:v>
      </x:c>
      <x:c r="S24" s="4" t="str">
        <x:v>Initial: Failed: dataset_export, define_xml_generation, rebuilding; Blocked: p21_validation; unclassified tool errors: 2
Final: Failed: dataset_export, define_xml_generation, rebuilding; Blocked: p21_validation</x:v>
      </x:c>
      <x:c r="T24" s="4" t="str">
        <x:v>Initial: Failed: dataset_export, define_xml_generation; Blocked: rebuilding, p21_validation
Final: Failed: dataset_export, define_xml_generation, rebuilding; Blocked: p21_validation</x:v>
      </x:c>
      <x:c r="U24" s="4" t="str">
        <x:v>Initial/terminal: Failed: dataset_export, define_xml_generation; Blocked: rebuilding, p21_validation</x:v>
      </x:c>
      <x:c r="V24" s="4" t="str">
        <x:v>Initial: Failed: dataset_export, define_xml_generation; Blocked: rebuilding, p21_validation
Final: Failed: dataset_export, define_xml_generation; Blocked: rebuilding, p21_validation</x:v>
      </x:c>
      <x:c r="W24" s="4" t="str">
        <x:v>Initial: Failed: dataset_export, define_xml_generation; Blocked: rebuilding, p21_validation
Final: Failed: dataset_export, define_xml_generation; Blocked: rebuilding, p21_validation</x:v>
      </x:c>
      <x:c r="X24" s="4" t="str">
        <x:v>Initial/terminal: Failed: dataset_export, define_xml_generation; Blocked: rebuilding, p21_validation; unclassified tool errors: 2</x:v>
      </x:c>
      <x:c r="Y24" s="4" t="str">
        <x:v>Initial: Failed: dataset_export, define_xml_generation; Blocked: rebuilding, p21_validation
Final: Failed: dataset_export, define_xml_generation; Blocked: rebuilding, p21_validation</x:v>
      </x:c>
      <x:c r="Z24" s="4" t="str">
        <x:v>Initial: Failed: dataset_export, define_xml_generation; Blocked: rebuilding, p21_validation
Final: Failed: dataset_export, define_xml_generation; Blocked: rebuilding, p21_validation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54" hidden="0" customWidth="1"/>
    <x:col min="2" max="2" width="22" hidden="0" customWidth="1"/>
    <x:col min="3" max="3" width="22" hidden="0" customWidth="1"/>
    <x:col min="4" max="4" width="22" hidden="0" customWidth="1"/>
    <x:col min="5" max="5" width="22" hidden="0" customWidth="1"/>
    <x:col min="6" max="6" width="22"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23" hidden="0" customWidth="1"/>
    <x:col min="16" max="16" width="23" hidden="0" customWidth="1"/>
    <x:col min="17" max="17" width="23" hidden="0" customWidth="1"/>
    <x:col min="18" max="18" width="23" hidden="0" customWidth="1"/>
    <x:col min="19" max="19" width="23" hidden="0" customWidth="1"/>
    <x:col min="20" max="20" width="23" hidden="0" customWidth="1"/>
    <x:col min="21" max="21" width="23" hidden="0" customWidth="1"/>
    <x:col min="22" max="22" width="23" hidden="0" customWidth="1"/>
    <x:col min="23" max="23" width="23" hidden="0" customWidth="1"/>
    <x:col min="24" max="24" width="23" hidden="0" customWidth="1"/>
    <x:col min="25" max="25" width="23" hidden="0" customWidth="1"/>
    <x:col min="26" max="26" width="23" hidden="0" customWidth="1"/>
  </x:cols>
  <x:sheetData>
    <x:row r="1" ht="42" customHeight="1">
      <x:c r="A1" s="15" t="str">
        <x:v>Endpoint</x:v>
      </x:c>
      <x:c r="B1" s="15" t="str">
        <x:v>Model</x:v>
      </x:c>
      <x:c r="C1" s="15" t="str">
        <x:v>Condition</x:v>
      </x:c>
      <x:c r="D1" s="15" t="str">
        <x:v>Temperature</x:v>
      </x:c>
      <x:c r="E1" s="15" t="str">
        <x:v>Phase</x:v>
      </x:c>
      <x:c r="F1" s="15" t="str">
        <x:v>Controller status</x:v>
      </x:c>
      <x:c r="G1" s="15" t="str">
        <x:v>P21 report usable</x:v>
      </x:c>
      <x:c r="H1" s="15" t="str">
        <x:v>Dataset-rule pairs</x:v>
      </x:c>
      <x:c r="I1" s="15" t="str">
        <x:v>Finding instances</x:v>
      </x:c>
      <x:c r="J1" s="15" t="str">
        <x:v>Distinct rules</x:v>
      </x:c>
      <x:c r="K1" s="15" t="str">
        <x:v>Cost estimate (USD)</x:v>
      </x:c>
      <x:c r="L1" s="15" t="str">
        <x:v>Agent time (seconds)</x:v>
      </x:c>
      <x:c r="M1" s="15" t="str">
        <x:v>Tool calls</x:v>
      </x:c>
      <x:c r="N1" s="15" t="str">
        <x:v>Failed tool calls</x:v>
      </x:c>
      <x:c r="O1" s="15" t="str">
        <x:v>Datasets delivered</x:v>
      </x:c>
      <x:c r="P1" s="15" t="str">
        <x:v>Datasets expected</x:v>
      </x:c>
      <x:c r="Q1" s="15" t="str">
        <x:v>Dataset delivery rate</x:v>
      </x:c>
      <x:c r="R1" s="15" t="str">
        <x:v>Variables matched</x:v>
      </x:c>
      <x:c r="S1" s="15" t="str">
        <x:v>Variables expected</x:v>
      </x:c>
      <x:c r="T1" s="15" t="str">
        <x:v>Variable coverage</x:v>
      </x:c>
      <x:c r="U1" s="15" t="str">
        <x:v>input_reading</x:v>
      </x:c>
      <x:c r="V1" s="15" t="str">
        <x:v>code_execution</x:v>
      </x:c>
      <x:c r="W1" s="15" t="str">
        <x:v>dataset_export</x:v>
      </x:c>
      <x:c r="X1" s="15" t="str">
        <x:v>define_xml_generation</x:v>
      </x:c>
      <x:c r="Y1" s="15" t="str">
        <x:v>rebuilding</x:v>
      </x:c>
      <x:c r="Z1" s="15" t="str">
        <x:v>p21_validation</x:v>
      </x:c>
    </x:row>
    <x:row r="2" ht="24" customHeight="1">
      <x:c r="A2" s="2" t="str">
        <x:v>openai / p21_feedback</x:v>
      </x:c>
      <x:c r="B2" s="2" t="str">
        <x:v>openai</x:v>
      </x:c>
      <x:c r="C2" s="2" t="str">
        <x:v>p21_feedback</x:v>
      </x:c>
      <x:c r="D2" s="2" t="str">
        <x:v>Historical default</x:v>
      </x:c>
      <x:c r="E2" s="2" t="str">
        <x:v>initial</x:v>
      </x:c>
      <x:c r="F2" s="2" t="str">
        <x:v>completed</x:v>
      </x:c>
      <x:c r="G2" s="11" t="b">
        <x:v>1</x:v>
      </x:c>
      <x:c r="H2" s="16" t="n">
        <x:v>26</x:v>
      </x:c>
      <x:c r="I2" s="16" t="n">
        <x:v>4802</x:v>
      </x:c>
      <x:c r="J2" s="16" t="n">
        <x:v>10</x:v>
      </x:c>
      <x:c r="K2" s="17" t="n">
        <x:v>0.692968</x:v>
      </x:c>
      <x:c r="L2" s="18" t="n">
        <x:v>1413.8336556249997</x:v>
      </x:c>
      <x:c r="M2" s="16" t="n">
        <x:v>27</x:v>
      </x:c>
      <x:c r="N2" s="16" t="n">
        <x:v>0</x:v>
      </x:c>
      <x:c r="O2" s="16" t="n">
        <x:v>13</x:v>
      </x:c>
      <x:c r="P2" s="16" t="n">
        <x:v>13</x:v>
      </x:c>
      <x:c r="Q2" s="19" t="n">
        <x:f>IF(ISNUMBER(O2),O2/P2,"")</x:f>
        <x:v>1</x:v>
      </x:c>
      <x:c r="R2" s="16" t="n">
        <x:v>531</x:v>
      </x:c>
      <x:c r="S2" s="16" t="n">
        <x:v>531</x:v>
      </x:c>
      <x:c r="T2" s="19" t="n">
        <x:f>IF(ISNUMBER(R2),R2/S2,"")</x:f>
        <x:v>1</x:v>
      </x:c>
      <x:c r="U2" s="2" t="str">
        <x:v>no_failure_observed</x:v>
      </x:c>
      <x:c r="V2" s="2" t="str">
        <x:v>failed</x:v>
      </x:c>
      <x:c r="W2" s="2" t="str">
        <x:v>no_failure_observed</x:v>
      </x:c>
      <x:c r="X2" s="2" t="str">
        <x:v>no_failure_observed</x:v>
      </x:c>
      <x:c r="Y2" s="2" t="str">
        <x:v>no_failure_observed</x:v>
      </x:c>
      <x:c r="Z2" s="2" t="str">
        <x:v>usable_report</x:v>
      </x:c>
    </x:row>
    <x:row r="3" ht="24" customHeight="1">
      <x:c r="A3" s="2" t="str">
        <x:v>openai / p21_feedback</x:v>
      </x:c>
      <x:c r="B3" s="2" t="str">
        <x:v>openai</x:v>
      </x:c>
      <x:c r="C3" s="2" t="str">
        <x:v>p21_feedback</x:v>
      </x:c>
      <x:c r="D3" s="2" t="str">
        <x:v>Historical default</x:v>
      </x:c>
      <x:c r="E3" s="2" t="str">
        <x:v>final</x:v>
      </x:c>
      <x:c r="F3" s="2" t="str">
        <x:v>completed</x:v>
      </x:c>
      <x:c r="G3" s="11" t="b">
        <x:v>1</x:v>
      </x:c>
      <x:c r="H3" s="16" t="n">
        <x:v>24</x:v>
      </x:c>
      <x:c r="I3" s="16" t="n">
        <x:v>3940</x:v>
      </x:c>
      <x:c r="J3" s="16" t="n">
        <x:v>9</x:v>
      </x:c>
      <x:c r="K3" s="17" t="n">
        <x:v>0.8180047</x:v>
      </x:c>
      <x:c r="L3" s="18" t="n">
        <x:v>1460.9629394169897</x:v>
      </x:c>
      <x:c r="M3" s="16" t="n">
        <x:v>26</x:v>
      </x:c>
      <x:c r="N3" s="16" t="n">
        <x:v>0</x:v>
      </x:c>
      <x:c r="O3" s="16" t="n">
        <x:v>13</x:v>
      </x:c>
      <x:c r="P3" s="16" t="n">
        <x:v>13</x:v>
      </x:c>
      <x:c r="Q3" s="19" t="n">
        <x:f>IF(ISNUMBER(O3),O3/P3,"")</x:f>
        <x:v>1</x:v>
      </x:c>
      <x:c r="R3" s="16" t="n">
        <x:v>531</x:v>
      </x:c>
      <x:c r="S3" s="16" t="n">
        <x:v>531</x:v>
      </x:c>
      <x:c r="T3" s="19" t="n">
        <x:f>IF(ISNUMBER(R3),R3/S3,"")</x:f>
        <x:v>1</x:v>
      </x:c>
      <x:c r="U3" s="2" t="str">
        <x:v>no_failure_observed</x:v>
      </x:c>
      <x:c r="V3" s="2" t="str">
        <x:v>failed</x:v>
      </x:c>
      <x:c r="W3" s="2" t="str">
        <x:v>no_failure_observed</x:v>
      </x:c>
      <x:c r="X3" s="2" t="str">
        <x:v>no_failure_observed</x:v>
      </x:c>
      <x:c r="Y3" s="2" t="str">
        <x:v>no_failure_observed</x:v>
      </x:c>
      <x:c r="Z3" s="2" t="str">
        <x:v>usable_report</x:v>
      </x:c>
    </x:row>
    <x:row r="4" ht="24" customHeight="1">
      <x:c r="A4" s="2" t="str">
        <x:v>openai / initial_only</x:v>
      </x:c>
      <x:c r="B4" s="2" t="str">
        <x:v>openai</x:v>
      </x:c>
      <x:c r="C4" s="2" t="str">
        <x:v>initial_only</x:v>
      </x:c>
      <x:c r="D4" s="2" t="str">
        <x:v>Historical default</x:v>
      </x:c>
      <x:c r="E4" s="2" t="str">
        <x:v>initial</x:v>
      </x:c>
      <x:c r="F4" s="2" t="str">
        <x:v>completed</x:v>
      </x:c>
      <x:c r="G4" s="11" t="b">
        <x:v>1</x:v>
      </x:c>
      <x:c r="H4" s="16" t="n">
        <x:v>26</x:v>
      </x:c>
      <x:c r="I4" s="16" t="n">
        <x:v>4708</x:v>
      </x:c>
      <x:c r="J4" s="16" t="n">
        <x:v>10</x:v>
      </x:c>
      <x:c r="K4" s="17" t="n">
        <x:v>1.1068993</x:v>
      </x:c>
      <x:c r="L4" s="18" t="n">
        <x:v>2091.2507188330055</x:v>
      </x:c>
      <x:c r="M4" s="16" t="n">
        <x:v>50</x:v>
      </x:c>
      <x:c r="N4" s="16" t="n">
        <x:v>1</x:v>
      </x:c>
      <x:c r="O4" s="16" t="n">
        <x:v>13</x:v>
      </x:c>
      <x:c r="P4" s="16" t="n">
        <x:v>13</x:v>
      </x:c>
      <x:c r="Q4" s="19" t="n">
        <x:f>IF(ISNUMBER(O4),O4/P4,"")</x:f>
        <x:v>1</x:v>
      </x:c>
      <x:c r="R4" s="16" t="n">
        <x:v>531</x:v>
      </x:c>
      <x:c r="S4" s="16" t="n">
        <x:v>531</x:v>
      </x:c>
      <x:c r="T4" s="19" t="n">
        <x:f>IF(ISNUMBER(R4),R4/S4,"")</x:f>
        <x:v>1</x:v>
      </x:c>
      <x:c r="U4" s="2" t="str">
        <x:v>no_failure_observed</x:v>
      </x:c>
      <x:c r="V4" s="2" t="str">
        <x:v>failed</x:v>
      </x:c>
      <x:c r="W4" s="2" t="str">
        <x:v>no_failure_observed</x:v>
      </x:c>
      <x:c r="X4" s="2" t="str">
        <x:v>no_failure_observed</x:v>
      </x:c>
      <x:c r="Y4" s="2" t="str">
        <x:v>no_failure_observed</x:v>
      </x:c>
      <x:c r="Z4" s="2" t="str">
        <x:v>usable_report</x:v>
      </x:c>
    </x:row>
    <x:row r="5" ht="24" customHeight="1">
      <x:c r="A5" s="2" t="str">
        <x:v>openai / self_review</x:v>
      </x:c>
      <x:c r="B5" s="2" t="str">
        <x:v>openai</x:v>
      </x:c>
      <x:c r="C5" s="2" t="str">
        <x:v>self_review</x:v>
      </x:c>
      <x:c r="D5" s="2" t="str">
        <x:v>Historical default</x:v>
      </x:c>
      <x:c r="E5" s="2" t="str">
        <x:v>initial</x:v>
      </x:c>
      <x:c r="F5" s="2" t="str">
        <x:v>failed</x:v>
      </x:c>
      <x:c r="G5" s="11" t="b">
        <x:v>1</x:v>
      </x:c>
      <x:c r="H5" s="16" t="n">
        <x:v>26</x:v>
      </x:c>
      <x:c r="I5" s="16" t="n">
        <x:v>4708</x:v>
      </x:c>
      <x:c r="J5" s="16" t="n">
        <x:v>10</x:v>
      </x:c>
      <x:c r="K5" s="17" t="n">
        <x:v>1.1068993</x:v>
      </x:c>
      <x:c r="L5" s="18" t="n">
        <x:v>2091.2507188330055</x:v>
      </x:c>
      <x:c r="M5" s="16" t="n">
        <x:v>50</x:v>
      </x:c>
      <x:c r="N5" s="16" t="n">
        <x:v>1</x:v>
      </x:c>
      <x:c r="O5" s="16" t="n">
        <x:v>13</x:v>
      </x:c>
      <x:c r="P5" s="16" t="n">
        <x:v>13</x:v>
      </x:c>
      <x:c r="Q5" s="19" t="n">
        <x:f>IF(ISNUMBER(O5),O5/P5,"")</x:f>
        <x:v>1</x:v>
      </x:c>
      <x:c r="R5" s="16" t="n">
        <x:v>531</x:v>
      </x:c>
      <x:c r="S5" s="16" t="n">
        <x:v>531</x:v>
      </x:c>
      <x:c r="T5" s="19" t="n">
        <x:f>IF(ISNUMBER(R5),R5/S5,"")</x:f>
        <x:v>1</x:v>
      </x:c>
      <x:c r="U5" s="2" t="str">
        <x:v>no_failure_observed</x:v>
      </x:c>
      <x:c r="V5" s="2" t="str">
        <x:v>failed</x:v>
      </x:c>
      <x:c r="W5" s="2" t="str">
        <x:v>no_failure_observed</x:v>
      </x:c>
      <x:c r="X5" s="2" t="str">
        <x:v>no_failure_observed</x:v>
      </x:c>
      <x:c r="Y5" s="2" t="str">
        <x:v>no_failure_observed</x:v>
      </x:c>
      <x:c r="Z5" s="2" t="str">
        <x:v>usable_report</x:v>
      </x:c>
    </x:row>
    <x:row r="6" ht="24" customHeight="1">
      <x:c r="A6" s="2" t="str">
        <x:v>openai / self_review</x:v>
      </x:c>
      <x:c r="B6" s="2" t="str">
        <x:v>openai</x:v>
      </x:c>
      <x:c r="C6" s="2" t="str">
        <x:v>self_review</x:v>
      </x:c>
      <x:c r="D6" s="2" t="str">
        <x:v>Historical default</x:v>
      </x:c>
      <x:c r="E6" s="2" t="str">
        <x:v>final</x:v>
      </x:c>
      <x:c r="F6" s="2" t="str">
        <x:v>failed</x:v>
      </x:c>
      <x:c r="G6" s="11" t="b">
        <x:v>1</x:v>
      </x:c>
      <x:c r="H6" s="16" t="n">
        <x:v>26</x:v>
      </x:c>
      <x:c r="I6" s="16" t="n">
        <x:v>4708</x:v>
      </x:c>
      <x:c r="J6" s="16" t="n">
        <x:v>10</x:v>
      </x:c>
      <x:c r="K6" s="17" t="n">
        <x:v>1.3643969</x:v>
      </x:c>
      <x:c r="L6" s="18" t="n">
        <x:v>1783.3148695830023</x:v>
      </x:c>
      <x:c r="M6" s="16" t="n">
        <x:v>30</x:v>
      </x:c>
      <x:c r="N6" s="16" t="n">
        <x:v>0</x:v>
      </x:c>
      <x:c r="O6" s="16" t="n">
        <x:v>13</x:v>
      </x:c>
      <x:c r="P6" s="16" t="n">
        <x:v>13</x:v>
      </x:c>
      <x:c r="Q6" s="19" t="n">
        <x:f>IF(ISNUMBER(O6),O6/P6,"")</x:f>
        <x:v>1</x:v>
      </x:c>
      <x:c r="R6" s="16" t="n">
        <x:v>531</x:v>
      </x:c>
      <x:c r="S6" s="16" t="n">
        <x:v>531</x:v>
      </x:c>
      <x:c r="T6" s="19" t="n">
        <x:f>IF(ISNUMBER(R6),R6/S6,"")</x:f>
        <x:v>1</x:v>
      </x:c>
      <x:c r="U6" s="2" t="str">
        <x:v>no_failure_observed</x:v>
      </x:c>
      <x:c r="V6" s="2" t="str">
        <x:v>no_failure_observed</x:v>
      </x:c>
      <x:c r="W6" s="2" t="str">
        <x:v>no_failure_observed</x:v>
      </x:c>
      <x:c r="X6" s="2" t="str">
        <x:v>no_failure_observed</x:v>
      </x:c>
      <x:c r="Y6" s="2" t="str">
        <x:v>no_failure_observed</x:v>
      </x:c>
      <x:c r="Z6" s="2" t="str">
        <x:v>failed</x:v>
      </x:c>
    </x:row>
    <x:row r="7" ht="24" customHeight="1">
      <x:c r="A7" s="2" t="str">
        <x:v>anthropic / p21_feedback</x:v>
      </x:c>
      <x:c r="B7" s="2" t="str">
        <x:v>anthropic</x:v>
      </x:c>
      <x:c r="C7" s="2" t="str">
        <x:v>p21_feedback</x:v>
      </x:c>
      <x:c r="D7" s="2" t="str">
        <x:v>Historical default</x:v>
      </x:c>
      <x:c r="E7" s="2" t="str">
        <x:v>initial</x:v>
      </x:c>
      <x:c r="F7" s="2" t="str">
        <x:v>completed</x:v>
      </x:c>
      <x:c r="G7" s="11" t="b">
        <x:v>1</x:v>
      </x:c>
      <x:c r="H7" s="16" t="n">
        <x:v>26</x:v>
      </x:c>
      <x:c r="I7" s="16" t="n">
        <x:v>4822</x:v>
      </x:c>
      <x:c r="J7" s="16" t="n">
        <x:v>10</x:v>
      </x:c>
      <x:c r="K7" s="17" t="n">
        <x:v>5.2396713</x:v>
      </x:c>
      <x:c r="L7" s="18" t="n">
        <x:v>1757.874597875023</x:v>
      </x:c>
      <x:c r="M7" s="16" t="n">
        <x:v>86</x:v>
      </x:c>
      <x:c r="N7" s="16" t="n">
        <x:v>0</x:v>
      </x:c>
      <x:c r="O7" s="16" t="n">
        <x:v>13</x:v>
      </x:c>
      <x:c r="P7" s="16" t="n">
        <x:v>13</x:v>
      </x:c>
      <x:c r="Q7" s="19" t="n">
        <x:f>IF(ISNUMBER(O7),O7/P7,"")</x:f>
        <x:v>1</x:v>
      </x:c>
      <x:c r="R7" s="16" t="n">
        <x:v>531</x:v>
      </x:c>
      <x:c r="S7" s="16" t="n">
        <x:v>531</x:v>
      </x:c>
      <x:c r="T7" s="19" t="n">
        <x:f>IF(ISNUMBER(R7),R7/S7,"")</x:f>
        <x:v>1</x:v>
      </x:c>
      <x:c r="U7" s="2" t="str">
        <x:v>no_failure_observed</x:v>
      </x:c>
      <x:c r="V7" s="2" t="str">
        <x:v>failed</x:v>
      </x:c>
      <x:c r="W7" s="2" t="str">
        <x:v>no_failure_observed</x:v>
      </x:c>
      <x:c r="X7" s="2" t="str">
        <x:v>no_failure_observed</x:v>
      </x:c>
      <x:c r="Y7" s="2" t="str">
        <x:v>no_failure_observed</x:v>
      </x:c>
      <x:c r="Z7" s="2" t="str">
        <x:v>usable_report</x:v>
      </x:c>
    </x:row>
    <x:row r="8" ht="24" customHeight="1">
      <x:c r="A8" s="2" t="str">
        <x:v>anthropic / p21_feedback</x:v>
      </x:c>
      <x:c r="B8" s="2" t="str">
        <x:v>anthropic</x:v>
      </x:c>
      <x:c r="C8" s="2" t="str">
        <x:v>p21_feedback</x:v>
      </x:c>
      <x:c r="D8" s="2" t="str">
        <x:v>Historical default</x:v>
      </x:c>
      <x:c r="E8" s="2" t="str">
        <x:v>final</x:v>
      </x:c>
      <x:c r="F8" s="2" t="str">
        <x:v>completed</x:v>
      </x:c>
      <x:c r="G8" s="11" t="b">
        <x:v>1</x:v>
      </x:c>
      <x:c r="H8" s="16" t="n">
        <x:v>24</x:v>
      </x:c>
      <x:c r="I8" s="16" t="n">
        <x:v>4074</x:v>
      </x:c>
      <x:c r="J8" s="16" t="n">
        <x:v>9</x:v>
      </x:c>
      <x:c r="K8" s="17" t="n">
        <x:v>1.0276376</x:v>
      </x:c>
      <x:c r="L8" s="18" t="n">
        <x:v>286.8812591250171</x:v>
      </x:c>
      <x:c r="M8" s="16" t="n">
        <x:v>13</x:v>
      </x:c>
      <x:c r="N8" s="16" t="n">
        <x:v>0</x:v>
      </x:c>
      <x:c r="O8" s="16" t="n">
        <x:v>13</x:v>
      </x:c>
      <x:c r="P8" s="16" t="n">
        <x:v>13</x:v>
      </x:c>
      <x:c r="Q8" s="19" t="n">
        <x:f>IF(ISNUMBER(O8),O8/P8,"")</x:f>
        <x:v>1</x:v>
      </x:c>
      <x:c r="R8" s="16" t="n">
        <x:v>531</x:v>
      </x:c>
      <x:c r="S8" s="16" t="n">
        <x:v>531</x:v>
      </x:c>
      <x:c r="T8" s="19" t="n">
        <x:f>IF(ISNUMBER(R8),R8/S8,"")</x:f>
        <x:v>1</x:v>
      </x:c>
      <x:c r="U8" s="2" t="str">
        <x:v>no_failure_observed</x:v>
      </x:c>
      <x:c r="V8" s="2" t="str">
        <x:v>no_failure_observed</x:v>
      </x:c>
      <x:c r="W8" s="2" t="str">
        <x:v>no_failure_observed</x:v>
      </x:c>
      <x:c r="X8" s="2" t="str">
        <x:v>no_failure_observed</x:v>
      </x:c>
      <x:c r="Y8" s="2" t="str">
        <x:v>no_failure_observed</x:v>
      </x:c>
      <x:c r="Z8" s="2" t="str">
        <x:v>usable_report</x:v>
      </x:c>
    </x:row>
    <x:row r="9" ht="24" customHeight="1">
      <x:c r="A9" s="2" t="str">
        <x:v>anthropic / initial_only</x:v>
      </x:c>
      <x:c r="B9" s="2" t="str">
        <x:v>anthropic</x:v>
      </x:c>
      <x:c r="C9" s="2" t="str">
        <x:v>initial_only</x:v>
      </x:c>
      <x:c r="D9" s="2" t="str">
        <x:v>Historical default</x:v>
      </x:c>
      <x:c r="E9" s="2" t="str">
        <x:v>initial</x:v>
      </x:c>
      <x:c r="F9" s="2" t="str">
        <x:v>completed</x:v>
      </x:c>
      <x:c r="G9" s="11" t="b">
        <x:v>1</x:v>
      </x:c>
      <x:c r="H9" s="16" t="n">
        <x:v>26</x:v>
      </x:c>
      <x:c r="I9" s="16" t="n">
        <x:v>4802</x:v>
      </x:c>
      <x:c r="J9" s="16" t="n">
        <x:v>10</x:v>
      </x:c>
      <x:c r="K9" s="17" t="n">
        <x:v>4.8386163</x:v>
      </x:c>
      <x:c r="L9" s="18" t="n">
        <x:v>1627.5741418749676</x:v>
      </x:c>
      <x:c r="M9" s="16" t="n">
        <x:v>85</x:v>
      </x:c>
      <x:c r="N9" s="16" t="n">
        <x:v>0</x:v>
      </x:c>
      <x:c r="O9" s="16" t="n">
        <x:v>13</x:v>
      </x:c>
      <x:c r="P9" s="16" t="n">
        <x:v>13</x:v>
      </x:c>
      <x:c r="Q9" s="19" t="n">
        <x:f>IF(ISNUMBER(O9),O9/P9,"")</x:f>
        <x:v>1</x:v>
      </x:c>
      <x:c r="R9" s="16" t="n">
        <x:v>531</x:v>
      </x:c>
      <x:c r="S9" s="16" t="n">
        <x:v>531</x:v>
      </x:c>
      <x:c r="T9" s="19" t="n">
        <x:f>IF(ISNUMBER(R9),R9/S9,"")</x:f>
        <x:v>1</x:v>
      </x:c>
      <x:c r="U9" s="2" t="str">
        <x:v>no_failure_observed</x:v>
      </x:c>
      <x:c r="V9" s="2" t="str">
        <x:v>failed</x:v>
      </x:c>
      <x:c r="W9" s="2" t="str">
        <x:v>no_failure_observed</x:v>
      </x:c>
      <x:c r="X9" s="2" t="str">
        <x:v>no_failure_observed</x:v>
      </x:c>
      <x:c r="Y9" s="2" t="str">
        <x:v>no_failure_observed</x:v>
      </x:c>
      <x:c r="Z9" s="2" t="str">
        <x:v>usable_report</x:v>
      </x:c>
    </x:row>
    <x:row r="10" ht="24" customHeight="1">
      <x:c r="A10" s="2" t="str">
        <x:v>anthropic / self_review</x:v>
      </x:c>
      <x:c r="B10" s="2" t="str">
        <x:v>anthropic</x:v>
      </x:c>
      <x:c r="C10" s="2" t="str">
        <x:v>self_review</x:v>
      </x:c>
      <x:c r="D10" s="2" t="str">
        <x:v>Historical default</x:v>
      </x:c>
      <x:c r="E10" s="2" t="str">
        <x:v>initial</x:v>
      </x:c>
      <x:c r="F10" s="2" t="str">
        <x:v>completed</x:v>
      </x:c>
      <x:c r="G10" s="11" t="b">
        <x:v>1</x:v>
      </x:c>
      <x:c r="H10" s="16" t="n">
        <x:v>26</x:v>
      </x:c>
      <x:c r="I10" s="16" t="n">
        <x:v>4802</x:v>
      </x:c>
      <x:c r="J10" s="16" t="n">
        <x:v>10</x:v>
      </x:c>
      <x:c r="K10" s="17" t="n">
        <x:v>4.8386163</x:v>
      </x:c>
      <x:c r="L10" s="18" t="n">
        <x:v>1627.5741418749676</x:v>
      </x:c>
      <x:c r="M10" s="16" t="n">
        <x:v>85</x:v>
      </x:c>
      <x:c r="N10" s="16" t="n">
        <x:v>0</x:v>
      </x:c>
      <x:c r="O10" s="16" t="n">
        <x:v>13</x:v>
      </x:c>
      <x:c r="P10" s="16" t="n">
        <x:v>13</x:v>
      </x:c>
      <x:c r="Q10" s="19" t="n">
        <x:f>IF(ISNUMBER(O10),O10/P10,"")</x:f>
        <x:v>1</x:v>
      </x:c>
      <x:c r="R10" s="16" t="n">
        <x:v>531</x:v>
      </x:c>
      <x:c r="S10" s="16" t="n">
        <x:v>531</x:v>
      </x:c>
      <x:c r="T10" s="19" t="n">
        <x:f>IF(ISNUMBER(R10),R10/S10,"")</x:f>
        <x:v>1</x:v>
      </x:c>
      <x:c r="U10" s="2" t="str">
        <x:v>no_failure_observed</x:v>
      </x:c>
      <x:c r="V10" s="2" t="str">
        <x:v>failed</x:v>
      </x:c>
      <x:c r="W10" s="2" t="str">
        <x:v>no_failure_observed</x:v>
      </x:c>
      <x:c r="X10" s="2" t="str">
        <x:v>no_failure_observed</x:v>
      </x:c>
      <x:c r="Y10" s="2" t="str">
        <x:v>no_failure_observed</x:v>
      </x:c>
      <x:c r="Z10" s="2" t="str">
        <x:v>usable_report</x:v>
      </x:c>
    </x:row>
    <x:row r="11" ht="24" customHeight="1">
      <x:c r="A11" s="2" t="str">
        <x:v>anthropic / self_review</x:v>
      </x:c>
      <x:c r="B11" s="2" t="str">
        <x:v>anthropic</x:v>
      </x:c>
      <x:c r="C11" s="2" t="str">
        <x:v>self_review</x:v>
      </x:c>
      <x:c r="D11" s="2" t="str">
        <x:v>Historical default</x:v>
      </x:c>
      <x:c r="E11" s="2" t="str">
        <x:v>final</x:v>
      </x:c>
      <x:c r="F11" s="2" t="str">
        <x:v>completed</x:v>
      </x:c>
      <x:c r="G11" s="11" t="b">
        <x:v>1</x:v>
      </x:c>
      <x:c r="H11" s="16" t="n">
        <x:v>26</x:v>
      </x:c>
      <x:c r="I11" s="16" t="n">
        <x:v>4802</x:v>
      </x:c>
      <x:c r="J11" s="16" t="n">
        <x:v>10</x:v>
      </x:c>
      <x:c r="K11" s="17" t="n">
        <x:v>0.9634474000000001</x:v>
      </x:c>
      <x:c r="L11" s="18" t="n">
        <x:v>330.14820208301535</x:v>
      </x:c>
      <x:c r="M11" s="16" t="n">
        <x:v>14</x:v>
      </x:c>
      <x:c r="N11" s="16" t="n">
        <x:v>0</x:v>
      </x:c>
      <x:c r="O11" s="16" t="n">
        <x:v>13</x:v>
      </x:c>
      <x:c r="P11" s="16" t="n">
        <x:v>13</x:v>
      </x:c>
      <x:c r="Q11" s="19" t="n">
        <x:f>IF(ISNUMBER(O11),O11/P11,"")</x:f>
        <x:v>1</x:v>
      </x:c>
      <x:c r="R11" s="16" t="n">
        <x:v>531</x:v>
      </x:c>
      <x:c r="S11" s="16" t="n">
        <x:v>531</x:v>
      </x:c>
      <x:c r="T11" s="19" t="n">
        <x:f>IF(ISNUMBER(R11),R11/S11,"")</x:f>
        <x:v>1</x:v>
      </x:c>
      <x:c r="U11" s="2" t="str">
        <x:v>no_failure_observed</x:v>
      </x:c>
      <x:c r="V11" s="2" t="str">
        <x:v>no_failure_observed</x:v>
      </x:c>
      <x:c r="W11" s="2" t="str">
        <x:v>no_failure_observed</x:v>
      </x:c>
      <x:c r="X11" s="2" t="str">
        <x:v>no_failure_observed</x:v>
      </x:c>
      <x:c r="Y11" s="2" t="str">
        <x:v>no_failure_observed</x:v>
      </x:c>
      <x:c r="Z11" s="2" t="str">
        <x:v>usable_report</x:v>
      </x:c>
    </x:row>
    <x:row r="12" ht="24" customHeight="1">
      <x:c r="A12" s="2" t="str">
        <x:v>google / p21_feedback</x:v>
      </x:c>
      <x:c r="B12" s="2" t="str">
        <x:v>google</x:v>
      </x:c>
      <x:c r="C12" s="2" t="str">
        <x:v>p21_feedback</x:v>
      </x:c>
      <x:c r="D12" s="2" t="str">
        <x:v>Historical default</x:v>
      </x:c>
      <x:c r="E12" s="2" t="str">
        <x:v>initial</x:v>
      </x:c>
      <x:c r="F12" s="2" t="str">
        <x:v>completed</x:v>
      </x:c>
      <x:c r="G12" s="11" t="b">
        <x:v>1</x:v>
      </x:c>
      <x:c r="H12" s="16" t="n">
        <x:v>49</x:v>
      </x:c>
      <x:c r="I12" s="16" t="n">
        <x:v>1541131</x:v>
      </x:c>
      <x:c r="J12" s="16" t="n">
        <x:v>7</x:v>
      </x:c>
      <x:c r="K12" s="17" t="n">
        <x:v>0.9010086</x:v>
      </x:c>
      <x:c r="L12" s="18" t="n">
        <x:v>1302.6540113340016</x:v>
      </x:c>
      <x:c r="M12" s="16" t="n">
        <x:v>57</x:v>
      </x:c>
      <x:c r="N12" s="16" t="n">
        <x:v>0</x:v>
      </x:c>
      <x:c r="O12" s="16" t="n">
        <x:v>13</x:v>
      </x:c>
      <x:c r="P12" s="16" t="n">
        <x:v>13</x:v>
      </x:c>
      <x:c r="Q12" s="19" t="n">
        <x:f>IF(ISNUMBER(O12),O12/P12,"")</x:f>
        <x:v>1</x:v>
      </x:c>
      <x:c r="R12" s="16" t="n">
        <x:v>531</x:v>
      </x:c>
      <x:c r="S12" s="16" t="n">
        <x:v>531</x:v>
      </x:c>
      <x:c r="T12" s="19" t="n">
        <x:f>IF(ISNUMBER(R12),R12/S12,"")</x:f>
        <x:v>1</x:v>
      </x:c>
      <x:c r="U12" s="2" t="str">
        <x:v>no_failure_observed</x:v>
      </x:c>
      <x:c r="V12" s="2" t="str">
        <x:v>failed</x:v>
      </x:c>
      <x:c r="W12" s="2" t="str">
        <x:v>no_failure_observed</x:v>
      </x:c>
      <x:c r="X12" s="2" t="str">
        <x:v>no_failure_observed</x:v>
      </x:c>
      <x:c r="Y12" s="2" t="str">
        <x:v>no_failure_observed</x:v>
      </x:c>
      <x:c r="Z12" s="2" t="str">
        <x:v>usable_report</x:v>
      </x:c>
    </x:row>
    <x:row r="13" ht="24" customHeight="1">
      <x:c r="A13" s="2" t="str">
        <x:v>google / p21_feedback</x:v>
      </x:c>
      <x:c r="B13" s="2" t="str">
        <x:v>google</x:v>
      </x:c>
      <x:c r="C13" s="2" t="str">
        <x:v>p21_feedback</x:v>
      </x:c>
      <x:c r="D13" s="2" t="str">
        <x:v>Historical default</x:v>
      </x:c>
      <x:c r="E13" s="2" t="str">
        <x:v>final</x:v>
      </x:c>
      <x:c r="F13" s="2" t="str">
        <x:v>completed</x:v>
      </x:c>
      <x:c r="G13" s="11" t="b">
        <x:v>1</x:v>
      </x:c>
      <x:c r="H13" s="16" t="n">
        <x:v>15</x:v>
      </x:c>
      <x:c r="I13" s="16" t="n">
        <x:v>35</x:v>
      </x:c>
      <x:c r="J13" s="16" t="n">
        <x:v>4</x:v>
      </x:c>
      <x:c r="K13" s="17" t="n">
        <x:v>1.9698086</x:v>
      </x:c>
      <x:c r="L13" s="18" t="n">
        <x:v>878.9509883330029</x:v>
      </x:c>
      <x:c r="M13" s="16" t="n">
        <x:v>90</x:v>
      </x:c>
      <x:c r="N13" s="16" t="n">
        <x:v>1</x:v>
      </x:c>
      <x:c r="O13" s="16" t="n">
        <x:v>13</x:v>
      </x:c>
      <x:c r="P13" s="16" t="n">
        <x:v>13</x:v>
      </x:c>
      <x:c r="Q13" s="19" t="n">
        <x:f>IF(ISNUMBER(O13),O13/P13,"")</x:f>
        <x:v>1</x:v>
      </x:c>
      <x:c r="R13" s="16" t="n">
        <x:v>531</x:v>
      </x:c>
      <x:c r="S13" s="16" t="n">
        <x:v>531</x:v>
      </x:c>
      <x:c r="T13" s="19" t="n">
        <x:f>IF(ISNUMBER(R13),R13/S13,"")</x:f>
        <x:v>1</x:v>
      </x:c>
      <x:c r="U13" s="2" t="str">
        <x:v>no_failure_observed</x:v>
      </x:c>
      <x:c r="V13" s="2" t="str">
        <x:v>failed</x:v>
      </x:c>
      <x:c r="W13" s="2" t="str">
        <x:v>no_failure_observed</x:v>
      </x:c>
      <x:c r="X13" s="2" t="str">
        <x:v>no_failure_observed</x:v>
      </x:c>
      <x:c r="Y13" s="2" t="str">
        <x:v>no_failure_observed</x:v>
      </x:c>
      <x:c r="Z13" s="2" t="str">
        <x:v>usable_report</x:v>
      </x:c>
    </x:row>
    <x:row r="14" ht="24" customHeight="1">
      <x:c r="A14" s="2" t="str">
        <x:v>google / initial_only</x:v>
      </x:c>
      <x:c r="B14" s="2" t="str">
        <x:v>google</x:v>
      </x:c>
      <x:c r="C14" s="2" t="str">
        <x:v>initial_only</x:v>
      </x:c>
      <x:c r="D14" s="2" t="str">
        <x:v>Historical default</x:v>
      </x:c>
      <x:c r="E14" s="2" t="str">
        <x:v>initial</x:v>
      </x:c>
      <x:c r="F14" s="2" t="str">
        <x:v>completed</x:v>
      </x:c>
      <x:c r="G14" s="11" t="b">
        <x:v>1</x:v>
      </x:c>
      <x:c r="H14" s="16" t="n">
        <x:v>64</x:v>
      </x:c>
      <x:c r="I14" s="16" t="n">
        <x:v>405028</x:v>
      </x:c>
      <x:c r="J14" s="16" t="n">
        <x:v>9</x:v>
      </x:c>
      <x:c r="K14" s="17" t="n">
        <x:v>1.276829</x:v>
      </x:c>
      <x:c r="L14" s="18" t="n">
        <x:v>998.0271668749629</x:v>
      </x:c>
      <x:c r="M14" s="16" t="n">
        <x:v>75</x:v>
      </x:c>
      <x:c r="N14" s="16" t="n">
        <x:v>0</x:v>
      </x:c>
      <x:c r="O14" s="16" t="n">
        <x:v>13</x:v>
      </x:c>
      <x:c r="P14" s="16" t="n">
        <x:v>13</x:v>
      </x:c>
      <x:c r="Q14" s="19" t="n">
        <x:f>IF(ISNUMBER(O14),O14/P14,"")</x:f>
        <x:v>1</x:v>
      </x:c>
      <x:c r="R14" s="16" t="n">
        <x:v>422</x:v>
      </x:c>
      <x:c r="S14" s="16" t="n">
        <x:v>531</x:v>
      </x:c>
      <x:c r="T14" s="19" t="n">
        <x:f>IF(ISNUMBER(R14),R14/S14,"")</x:f>
        <x:v>0.7947269303201506</x:v>
      </x:c>
      <x:c r="U14" s="2" t="str">
        <x:v>no_failure_observed</x:v>
      </x:c>
      <x:c r="V14" s="2" t="str">
        <x:v>failed</x:v>
      </x:c>
      <x:c r="W14" s="2" t="str">
        <x:v>no_failure_observed</x:v>
      </x:c>
      <x:c r="X14" s="2" t="str">
        <x:v>no_failure_observed</x:v>
      </x:c>
      <x:c r="Y14" s="2" t="str">
        <x:v>no_failure_observed</x:v>
      </x:c>
      <x:c r="Z14" s="2" t="str">
        <x:v>usable_report</x:v>
      </x:c>
    </x:row>
    <x:row r="15" ht="24" customHeight="1">
      <x:c r="A15" s="2" t="str">
        <x:v>google / self_review</x:v>
      </x:c>
      <x:c r="B15" s="2" t="str">
        <x:v>google</x:v>
      </x:c>
      <x:c r="C15" s="2" t="str">
        <x:v>self_review</x:v>
      </x:c>
      <x:c r="D15" s="2" t="str">
        <x:v>Historical default</x:v>
      </x:c>
      <x:c r="E15" s="2" t="str">
        <x:v>initial</x:v>
      </x:c>
      <x:c r="F15" s="2" t="str">
        <x:v>completed</x:v>
      </x:c>
      <x:c r="G15" s="11" t="b">
        <x:v>1</x:v>
      </x:c>
      <x:c r="H15" s="16" t="n">
        <x:v>64</x:v>
      </x:c>
      <x:c r="I15" s="16" t="n">
        <x:v>405028</x:v>
      </x:c>
      <x:c r="J15" s="16" t="n">
        <x:v>9</x:v>
      </x:c>
      <x:c r="K15" s="17" t="n">
        <x:v>1.276829</x:v>
      </x:c>
      <x:c r="L15" s="18" t="n">
        <x:v>998.0271668749629</x:v>
      </x:c>
      <x:c r="M15" s="16" t="n">
        <x:v>75</x:v>
      </x:c>
      <x:c r="N15" s="16" t="n">
        <x:v>0</x:v>
      </x:c>
      <x:c r="O15" s="16" t="n">
        <x:v>13</x:v>
      </x:c>
      <x:c r="P15" s="16" t="n">
        <x:v>13</x:v>
      </x:c>
      <x:c r="Q15" s="19" t="n">
        <x:f>IF(ISNUMBER(O15),O15/P15,"")</x:f>
        <x:v>1</x:v>
      </x:c>
      <x:c r="R15" s="16" t="n">
        <x:v>422</x:v>
      </x:c>
      <x:c r="S15" s="16" t="n">
        <x:v>531</x:v>
      </x:c>
      <x:c r="T15" s="19" t="n">
        <x:f>IF(ISNUMBER(R15),R15/S15,"")</x:f>
        <x:v>0.7947269303201506</x:v>
      </x:c>
      <x:c r="U15" s="2" t="str">
        <x:v>no_failure_observed</x:v>
      </x:c>
      <x:c r="V15" s="2" t="str">
        <x:v>failed</x:v>
      </x:c>
      <x:c r="W15" s="2" t="str">
        <x:v>no_failure_observed</x:v>
      </x:c>
      <x:c r="X15" s="2" t="str">
        <x:v>no_failure_observed</x:v>
      </x:c>
      <x:c r="Y15" s="2" t="str">
        <x:v>no_failure_observed</x:v>
      </x:c>
      <x:c r="Z15" s="2" t="str">
        <x:v>usable_report</x:v>
      </x:c>
    </x:row>
    <x:row r="16" ht="24" customHeight="1">
      <x:c r="A16" s="2" t="str">
        <x:v>google / self_review</x:v>
      </x:c>
      <x:c r="B16" s="2" t="str">
        <x:v>google</x:v>
      </x:c>
      <x:c r="C16" s="2" t="str">
        <x:v>self_review</x:v>
      </x:c>
      <x:c r="D16" s="2" t="str">
        <x:v>Historical default</x:v>
      </x:c>
      <x:c r="E16" s="2" t="str">
        <x:v>final</x:v>
      </x:c>
      <x:c r="F16" s="2" t="str">
        <x:v>completed</x:v>
      </x:c>
      <x:c r="G16" s="11" t="b">
        <x:v>1</x:v>
      </x:c>
      <x:c r="H16" s="16" t="n">
        <x:v>58</x:v>
      </x:c>
      <x:c r="I16" s="16" t="n">
        <x:v>502447</x:v>
      </x:c>
      <x:c r="J16" s="16" t="n">
        <x:v>8</x:v>
      </x:c>
      <x:c r="K16" s="17" t="n">
        <x:v>1.7913412</x:v>
      </x:c>
      <x:c r="L16" s="18" t="n">
        <x:v>1608.0880760420114</x:v>
      </x:c>
      <x:c r="M16" s="16" t="n">
        <x:v>51</x:v>
      </x:c>
      <x:c r="N16" s="16" t="n">
        <x:v>0</x:v>
      </x:c>
      <x:c r="O16" s="16" t="n">
        <x:v>13</x:v>
      </x:c>
      <x:c r="P16" s="16" t="n">
        <x:v>13</x:v>
      </x:c>
      <x:c r="Q16" s="19" t="n">
        <x:f>IF(ISNUMBER(O16),O16/P16,"")</x:f>
        <x:v>1</x:v>
      </x:c>
      <x:c r="R16" s="16" t="n">
        <x:v>436</x:v>
      </x:c>
      <x:c r="S16" s="16" t="n">
        <x:v>531</x:v>
      </x:c>
      <x:c r="T16" s="19" t="n">
        <x:f>IF(ISNUMBER(R16),R16/S16,"")</x:f>
        <x:v>0.8210922787193974</x:v>
      </x:c>
      <x:c r="U16" s="2" t="str">
        <x:v>no_failure_observed</x:v>
      </x:c>
      <x:c r="V16" s="2" t="str">
        <x:v>failed</x:v>
      </x:c>
      <x:c r="W16" s="2" t="str">
        <x:v>no_failure_observed</x:v>
      </x:c>
      <x:c r="X16" s="2" t="str">
        <x:v>no_failure_observed</x:v>
      </x:c>
      <x:c r="Y16" s="2" t="str">
        <x:v>failed</x:v>
      </x:c>
      <x:c r="Z16" s="2" t="str">
        <x:v>usable_report</x:v>
      </x:c>
    </x:row>
    <x:row r="17" ht="24" customHeight="1">
      <x:c r="A17" s="2" t="str">
        <x:v>deepseek / p21_feedback</x:v>
      </x:c>
      <x:c r="B17" s="2" t="str">
        <x:v>deepseek</x:v>
      </x:c>
      <x:c r="C17" s="2" t="str">
        <x:v>p21_feedback</x:v>
      </x:c>
      <x:c r="D17" s="2" t="str">
        <x:v>Historical default</x:v>
      </x:c>
      <x:c r="E17" s="2" t="str">
        <x:v>initial</x:v>
      </x:c>
      <x:c r="F17" s="2" t="str">
        <x:v>completed</x:v>
      </x:c>
      <x:c r="G17" s="11" t="b">
        <x:v>1</x:v>
      </x:c>
      <x:c r="H17" s="16" t="n">
        <x:v>47</x:v>
      </x:c>
      <x:c r="I17" s="16" t="n">
        <x:v>134406</x:v>
      </x:c>
      <x:c r="J17" s="16" t="n">
        <x:v>14</x:v>
      </x:c>
      <x:c r="K17" s="17" t="n">
        <x:v>0.324972816</x:v>
      </x:c>
      <x:c r="L17" s="18" t="n">
        <x:v>2147.5296479160315</x:v>
      </x:c>
      <x:c r="M17" s="16" t="n">
        <x:v>107</x:v>
      </x:c>
      <x:c r="N17" s="16" t="n">
        <x:v>0</x:v>
      </x:c>
      <x:c r="O17" s="16" t="n">
        <x:v>13</x:v>
      </x:c>
      <x:c r="P17" s="16" t="n">
        <x:v>13</x:v>
      </x:c>
      <x:c r="Q17" s="19" t="n">
        <x:f>IF(ISNUMBER(O17),O17/P17,"")</x:f>
        <x:v>1</x:v>
      </x:c>
      <x:c r="R17" s="16" t="n">
        <x:v>531</x:v>
      </x:c>
      <x:c r="S17" s="16" t="n">
        <x:v>531</x:v>
      </x:c>
      <x:c r="T17" s="19" t="n">
        <x:f>IF(ISNUMBER(R17),R17/S17,"")</x:f>
        <x:v>1</x:v>
      </x:c>
      <x:c r="U17" s="2" t="str">
        <x:v>no_failure_observed</x:v>
      </x:c>
      <x:c r="V17" s="2" t="str">
        <x:v>failed</x:v>
      </x:c>
      <x:c r="W17" s="2" t="str">
        <x:v>no_failure_observed</x:v>
      </x:c>
      <x:c r="X17" s="2" t="str">
        <x:v>no_failure_observed</x:v>
      </x:c>
      <x:c r="Y17" s="2" t="str">
        <x:v>no_failure_observed</x:v>
      </x:c>
      <x:c r="Z17" s="2" t="str">
        <x:v>usable_report</x:v>
      </x:c>
    </x:row>
    <x:row r="18" ht="24" customHeight="1">
      <x:c r="A18" s="2" t="str">
        <x:v>deepseek / p21_feedback</x:v>
      </x:c>
      <x:c r="B18" s="2" t="str">
        <x:v>deepseek</x:v>
      </x:c>
      <x:c r="C18" s="2" t="str">
        <x:v>p21_feedback</x:v>
      </x:c>
      <x:c r="D18" s="2" t="str">
        <x:v>Historical default</x:v>
      </x:c>
      <x:c r="E18" s="2" t="str">
        <x:v>final</x:v>
      </x:c>
      <x:c r="F18" s="2" t="str">
        <x:v>completed</x:v>
      </x:c>
      <x:c r="G18" s="11" t="b">
        <x:v>1</x:v>
      </x:c>
      <x:c r="H18" s="16" t="n">
        <x:v>24</x:v>
      </x:c>
      <x:c r="I18" s="16" t="n">
        <x:v>4050</x:v>
      </x:c>
      <x:c r="J18" s="16" t="n">
        <x:v>9</x:v>
      </x:c>
      <x:c r="K18" s="17" t="n">
        <x:v>0.109895568</x:v>
      </x:c>
      <x:c r="L18" s="18" t="n">
        <x:v>855.7196575419512</x:v>
      </x:c>
      <x:c r="M18" s="16" t="n">
        <x:v>23</x:v>
      </x:c>
      <x:c r="N18" s="16" t="n">
        <x:v>0</x:v>
      </x:c>
      <x:c r="O18" s="16" t="n">
        <x:v>13</x:v>
      </x:c>
      <x:c r="P18" s="16" t="n">
        <x:v>13</x:v>
      </x:c>
      <x:c r="Q18" s="19" t="n">
        <x:f>IF(ISNUMBER(O18),O18/P18,"")</x:f>
        <x:v>1</x:v>
      </x:c>
      <x:c r="R18" s="16" t="n">
        <x:v>531</x:v>
      </x:c>
      <x:c r="S18" s="16" t="n">
        <x:v>531</x:v>
      </x:c>
      <x:c r="T18" s="19" t="n">
        <x:f>IF(ISNUMBER(R18),R18/S18,"")</x:f>
        <x:v>1</x:v>
      </x:c>
      <x:c r="U18" s="2" t="str">
        <x:v>no_failure_observed</x:v>
      </x:c>
      <x:c r="V18" s="2" t="str">
        <x:v>no_failure_observed</x:v>
      </x:c>
      <x:c r="W18" s="2" t="str">
        <x:v>no_failure_observed</x:v>
      </x:c>
      <x:c r="X18" s="2" t="str">
        <x:v>no_failure_observed</x:v>
      </x:c>
      <x:c r="Y18" s="2" t="str">
        <x:v>no_failure_observed</x:v>
      </x:c>
      <x:c r="Z18" s="2" t="str">
        <x:v>usable_report</x:v>
      </x:c>
    </x:row>
    <x:row r="19" ht="24" customHeight="1">
      <x:c r="A19" s="2" t="str">
        <x:v>deepseek / initial_only</x:v>
      </x:c>
      <x:c r="B19" s="2" t="str">
        <x:v>deepseek</x:v>
      </x:c>
      <x:c r="C19" s="2" t="str">
        <x:v>initial_only</x:v>
      </x:c>
      <x:c r="D19" s="2" t="str">
        <x:v>Historical default</x:v>
      </x:c>
      <x:c r="E19" s="2" t="str">
        <x:v>initial</x:v>
      </x:c>
      <x:c r="F19" s="2" t="str">
        <x:v>completed</x:v>
      </x:c>
      <x:c r="G19" s="11" t="b">
        <x:v>1</x:v>
      </x:c>
      <x:c r="H19" s="16" t="n">
        <x:v>28</x:v>
      </x:c>
      <x:c r="I19" s="16" t="n">
        <x:v>47926</x:v>
      </x:c>
      <x:c r="J19" s="16" t="n">
        <x:v>10</x:v>
      </x:c>
      <x:c r="K19" s="17" t="n">
        <x:v>0.41639622</x:v>
      </x:c>
      <x:c r="L19" s="18" t="n">
        <x:v>3151.302805415995</x:v>
      </x:c>
      <x:c r="M19" s="16" t="n">
        <x:v>137</x:v>
      </x:c>
      <x:c r="N19" s="16" t="n">
        <x:v>0</x:v>
      </x:c>
      <x:c r="O19" s="16" t="n">
        <x:v>13</x:v>
      </x:c>
      <x:c r="P19" s="16" t="n">
        <x:v>13</x:v>
      </x:c>
      <x:c r="Q19" s="19" t="n">
        <x:f>IF(ISNUMBER(O19),O19/P19,"")</x:f>
        <x:v>1</x:v>
      </x:c>
      <x:c r="R19" s="16" t="n">
        <x:v>531</x:v>
      </x:c>
      <x:c r="S19" s="16" t="n">
        <x:v>531</x:v>
      </x:c>
      <x:c r="T19" s="19" t="n">
        <x:f>IF(ISNUMBER(R19),R19/S19,"")</x:f>
        <x:v>1</x:v>
      </x:c>
      <x:c r="U19" s="2" t="str">
        <x:v>no_failure_observed</x:v>
      </x:c>
      <x:c r="V19" s="2" t="str">
        <x:v>failed</x:v>
      </x:c>
      <x:c r="W19" s="2" t="str">
        <x:v>no_failure_observed</x:v>
      </x:c>
      <x:c r="X19" s="2" t="str">
        <x:v>no_failure_observed</x:v>
      </x:c>
      <x:c r="Y19" s="2" t="str">
        <x:v>no_failure_observed</x:v>
      </x:c>
      <x:c r="Z19" s="2" t="str">
        <x:v>usable_report</x:v>
      </x:c>
    </x:row>
    <x:row r="20" ht="24" customHeight="1">
      <x:c r="A20" s="2" t="str">
        <x:v>deepseek / self_review</x:v>
      </x:c>
      <x:c r="B20" s="2" t="str">
        <x:v>deepseek</x:v>
      </x:c>
      <x:c r="C20" s="2" t="str">
        <x:v>self_review</x:v>
      </x:c>
      <x:c r="D20" s="2" t="str">
        <x:v>Historical default</x:v>
      </x:c>
      <x:c r="E20" s="2" t="str">
        <x:v>initial</x:v>
      </x:c>
      <x:c r="F20" s="2" t="str">
        <x:v>completed</x:v>
      </x:c>
      <x:c r="G20" s="11" t="b">
        <x:v>1</x:v>
      </x:c>
      <x:c r="H20" s="16" t="n">
        <x:v>28</x:v>
      </x:c>
      <x:c r="I20" s="16" t="n">
        <x:v>47926</x:v>
      </x:c>
      <x:c r="J20" s="16" t="n">
        <x:v>10</x:v>
      </x:c>
      <x:c r="K20" s="17" t="n">
        <x:v>0.41639622</x:v>
      </x:c>
      <x:c r="L20" s="18" t="n">
        <x:v>3151.302805415995</x:v>
      </x:c>
      <x:c r="M20" s="16" t="n">
        <x:v>137</x:v>
      </x:c>
      <x:c r="N20" s="16" t="n">
        <x:v>0</x:v>
      </x:c>
      <x:c r="O20" s="16" t="n">
        <x:v>13</x:v>
      </x:c>
      <x:c r="P20" s="16" t="n">
        <x:v>13</x:v>
      </x:c>
      <x:c r="Q20" s="19" t="n">
        <x:f>IF(ISNUMBER(O20),O20/P20,"")</x:f>
        <x:v>1</x:v>
      </x:c>
      <x:c r="R20" s="16" t="n">
        <x:v>531</x:v>
      </x:c>
      <x:c r="S20" s="16" t="n">
        <x:v>531</x:v>
      </x:c>
      <x:c r="T20" s="19" t="n">
        <x:f>IF(ISNUMBER(R20),R20/S20,"")</x:f>
        <x:v>1</x:v>
      </x:c>
      <x:c r="U20" s="2" t="str">
        <x:v>no_failure_observed</x:v>
      </x:c>
      <x:c r="V20" s="2" t="str">
        <x:v>failed</x:v>
      </x:c>
      <x:c r="W20" s="2" t="str">
        <x:v>no_failure_observed</x:v>
      </x:c>
      <x:c r="X20" s="2" t="str">
        <x:v>no_failure_observed</x:v>
      </x:c>
      <x:c r="Y20" s="2" t="str">
        <x:v>no_failure_observed</x:v>
      </x:c>
      <x:c r="Z20" s="2" t="str">
        <x:v>usable_report</x:v>
      </x:c>
    </x:row>
    <x:row r="21" ht="24" customHeight="1">
      <x:c r="A21" s="2" t="str">
        <x:v>deepseek / self_review</x:v>
      </x:c>
      <x:c r="B21" s="2" t="str">
        <x:v>deepseek</x:v>
      </x:c>
      <x:c r="C21" s="2" t="str">
        <x:v>self_review</x:v>
      </x:c>
      <x:c r="D21" s="2" t="str">
        <x:v>Historical default</x:v>
      </x:c>
      <x:c r="E21" s="2" t="str">
        <x:v>final</x:v>
      </x:c>
      <x:c r="F21" s="2" t="str">
        <x:v>completed</x:v>
      </x:c>
      <x:c r="G21" s="11" t="b">
        <x:v>1</x:v>
      </x:c>
      <x:c r="H21" s="16" t="n">
        <x:v>25</x:v>
      </x:c>
      <x:c r="I21" s="16" t="n">
        <x:v>4118</x:v>
      </x:c>
      <x:c r="J21" s="16" t="n">
        <x:v>9</x:v>
      </x:c>
      <x:c r="K21" s="17" t="n">
        <x:v>0.204736968</x:v>
      </x:c>
      <x:c r="L21" s="18" t="n">
        <x:v>1822.5941467080265</x:v>
      </x:c>
      <x:c r="M21" s="16" t="n">
        <x:v>48</x:v>
      </x:c>
      <x:c r="N21" s="16" t="n">
        <x:v>0</x:v>
      </x:c>
      <x:c r="O21" s="16" t="n">
        <x:v>13</x:v>
      </x:c>
      <x:c r="P21" s="16" t="n">
        <x:v>13</x:v>
      </x:c>
      <x:c r="Q21" s="19" t="n">
        <x:f>IF(ISNUMBER(O21),O21/P21,"")</x:f>
        <x:v>1</x:v>
      </x:c>
      <x:c r="R21" s="16" t="n">
        <x:v>531</x:v>
      </x:c>
      <x:c r="S21" s="16" t="n">
        <x:v>531</x:v>
      </x:c>
      <x:c r="T21" s="19" t="n">
        <x:f>IF(ISNUMBER(R21),R21/S21,"")</x:f>
        <x:v>1</x:v>
      </x:c>
      <x:c r="U21" s="2" t="str">
        <x:v>no_failure_observed</x:v>
      </x:c>
      <x:c r="V21" s="2" t="str">
        <x:v>failed</x:v>
      </x:c>
      <x:c r="W21" s="2" t="str">
        <x:v>no_failure_observed</x:v>
      </x:c>
      <x:c r="X21" s="2" t="str">
        <x:v>no_failure_observed</x:v>
      </x:c>
      <x:c r="Y21" s="2" t="str">
        <x:v>no_failure_observed</x:v>
      </x:c>
      <x:c r="Z21" s="2" t="str">
        <x:v>usable_report</x:v>
      </x:c>
    </x:row>
    <x:row r="22" ht="24" customHeight="1">
      <x:c r="A22" s="2" t="str">
        <x:v>google / initial_only / temperature 0.2</x:v>
      </x:c>
      <x:c r="B22" s="2" t="str">
        <x:v>google</x:v>
      </x:c>
      <x:c r="C22" s="2" t="str">
        <x:v>initial_only</x:v>
      </x:c>
      <x:c r="D22" s="2" t="n">
        <x:v>0.2</x:v>
      </x:c>
      <x:c r="E22" s="2" t="str">
        <x:v>initial</x:v>
      </x:c>
      <x:c r="F22" s="2" t="str">
        <x:v>completed</x:v>
      </x:c>
      <x:c r="G22" s="11" t="b">
        <x:v>1</x:v>
      </x:c>
      <x:c r="H22" s="16" t="n">
        <x:v>80</x:v>
      </x:c>
      <x:c r="I22" s="16" t="n">
        <x:v>10483</x:v>
      </x:c>
      <x:c r="J22" s="16" t="n">
        <x:v>13</x:v>
      </x:c>
      <x:c r="K22" s="17" t="n">
        <x:v>0.5592426</x:v>
      </x:c>
      <x:c r="L22" s="18" t="n">
        <x:v>234.98174333298812</x:v>
      </x:c>
      <x:c r="M22" s="16" t="n">
        <x:v>36</x:v>
      </x:c>
      <x:c r="N22" s="16" t="n">
        <x:v>0</x:v>
      </x:c>
      <x:c r="O22" s="16" t="n">
        <x:v>13</x:v>
      </x:c>
      <x:c r="P22" s="16" t="n">
        <x:v>13</x:v>
      </x:c>
      <x:c r="Q22" s="19" t="n">
        <x:f>IF(ISNUMBER(O22),O22/P22,"")</x:f>
        <x:v>1</x:v>
      </x:c>
      <x:c r="R22" s="16" t="n">
        <x:v>289</x:v>
      </x:c>
      <x:c r="S22" s="16" t="n">
        <x:v>531</x:v>
      </x:c>
      <x:c r="T22" s="19" t="n">
        <x:f>IF(ISNUMBER(R22),R22/S22,"")</x:f>
        <x:v>0.544256120527307</x:v>
      </x:c>
      <x:c r="U22" s="2" t="str">
        <x:v>no_failure_observed</x:v>
      </x:c>
      <x:c r="V22" s="2" t="str">
        <x:v>failed</x:v>
      </x:c>
      <x:c r="W22" s="2" t="str">
        <x:v>no_failure_observed</x:v>
      </x:c>
      <x:c r="X22" s="2" t="str">
        <x:v>no_failure_observed</x:v>
      </x:c>
      <x:c r="Y22" s="2" t="str">
        <x:v>no_failure_observed</x:v>
      </x:c>
      <x:c r="Z22" s="2" t="str">
        <x:v>usable_report</x:v>
      </x:c>
    </x:row>
    <x:row r="23" ht="24" customHeight="1">
      <x:c r="A23" s="2" t="str">
        <x:v>google / initial_only / temperature 0.6</x:v>
      </x:c>
      <x:c r="B23" s="2" t="str">
        <x:v>google</x:v>
      </x:c>
      <x:c r="C23" s="2" t="str">
        <x:v>initial_only</x:v>
      </x:c>
      <x:c r="D23" s="2" t="n">
        <x:v>0.6</x:v>
      </x:c>
      <x:c r="E23" s="2" t="str">
        <x:v>initial</x:v>
      </x:c>
      <x:c r="F23" s="2" t="str">
        <x:v>completed</x:v>
      </x:c>
      <x:c r="G23" s="11" t="b">
        <x:v>1</x:v>
      </x:c>
      <x:c r="H23" s="16" t="n">
        <x:v>79</x:v>
      </x:c>
      <x:c r="I23" s="16" t="n">
        <x:v>707266</x:v>
      </x:c>
      <x:c r="J23" s="16" t="n">
        <x:v>12</x:v>
      </x:c>
      <x:c r="K23" s="17" t="n">
        <x:v>0.775235</x:v>
      </x:c>
      <x:c r="L23" s="18" t="n">
        <x:v>677.5350696250098</x:v>
      </x:c>
      <x:c r="M23" s="16" t="n">
        <x:v>39</x:v>
      </x:c>
      <x:c r="N23" s="16" t="n">
        <x:v>0</x:v>
      </x:c>
      <x:c r="O23" s="16" t="n">
        <x:v>13</x:v>
      </x:c>
      <x:c r="P23" s="16" t="n">
        <x:v>13</x:v>
      </x:c>
      <x:c r="Q23" s="19" t="n">
        <x:f>IF(ISNUMBER(O23),O23/P23,"")</x:f>
        <x:v>1</x:v>
      </x:c>
      <x:c r="R23" s="16" t="n">
        <x:v>340</x:v>
      </x:c>
      <x:c r="S23" s="16" t="n">
        <x:v>531</x:v>
      </x:c>
      <x:c r="T23" s="19" t="n">
        <x:f>IF(ISNUMBER(R23),R23/S23,"")</x:f>
        <x:v>0.64030131826742</x:v>
      </x:c>
      <x:c r="U23" s="2" t="str">
        <x:v>no_failure_observed</x:v>
      </x:c>
      <x:c r="V23" s="2" t="str">
        <x:v>failed</x:v>
      </x:c>
      <x:c r="W23" s="2" t="str">
        <x:v>no_failure_observed</x:v>
      </x:c>
      <x:c r="X23" s="2" t="str">
        <x:v>no_failure_observed</x:v>
      </x:c>
      <x:c r="Y23" s="2" t="str">
        <x:v>no_failure_observed</x:v>
      </x:c>
      <x:c r="Z23" s="2" t="str">
        <x:v>usable_report</x:v>
      </x:c>
    </x:row>
    <x:row r="24" ht="24" customHeight="1">
      <x:c r="A24" s="2" t="str">
        <x:v>google / initial_only / temperature 1.0</x:v>
      </x:c>
      <x:c r="B24" s="2" t="str">
        <x:v>google</x:v>
      </x:c>
      <x:c r="C24" s="2" t="str">
        <x:v>initial_only</x:v>
      </x:c>
      <x:c r="D24" s="2" t="n">
        <x:v>1</x:v>
      </x:c>
      <x:c r="E24" s="2" t="str">
        <x:v>initial</x:v>
      </x:c>
      <x:c r="F24" s="2" t="str">
        <x:v>completed</x:v>
      </x:c>
      <x:c r="G24" s="11" t="b">
        <x:v>1</x:v>
      </x:c>
      <x:c r="H24" s="16" t="n">
        <x:v>89</x:v>
      </x:c>
      <x:c r="I24" s="16" t="n">
        <x:v>837426</x:v>
      </x:c>
      <x:c r="J24" s="16" t="n">
        <x:v>11</x:v>
      </x:c>
      <x:c r="K24" s="17" t="n">
        <x:v>0.7735738</x:v>
      </x:c>
      <x:c r="L24" s="18" t="n">
        <x:v>1068.4660351659986</x:v>
      </x:c>
      <x:c r="M24" s="16" t="n">
        <x:v>45</x:v>
      </x:c>
      <x:c r="N24" s="16" t="n">
        <x:v>0</x:v>
      </x:c>
      <x:c r="O24" s="16" t="n">
        <x:v>13</x:v>
      </x:c>
      <x:c r="P24" s="16" t="n">
        <x:v>13</x:v>
      </x:c>
      <x:c r="Q24" s="19" t="n">
        <x:f>IF(ISNUMBER(O24),O24/P24,"")</x:f>
        <x:v>1</x:v>
      </x:c>
      <x:c r="R24" s="16" t="n">
        <x:v>384</x:v>
      </x:c>
      <x:c r="S24" s="16" t="n">
        <x:v>531</x:v>
      </x:c>
      <x:c r="T24" s="19" t="n">
        <x:f>IF(ISNUMBER(R24),R24/S24,"")</x:f>
        <x:v>0.7231638418079096</x:v>
      </x:c>
      <x:c r="U24" s="2" t="str">
        <x:v>no_failure_observed</x:v>
      </x:c>
      <x:c r="V24" s="2" t="str">
        <x:v>no_failure_observed</x:v>
      </x:c>
      <x:c r="W24" s="2" t="str">
        <x:v>no_failure_observed</x:v>
      </x:c>
      <x:c r="X24" s="2" t="str">
        <x:v>no_failure_observed</x:v>
      </x:c>
      <x:c r="Y24" s="2" t="str">
        <x:v>failed</x:v>
      </x:c>
      <x:c r="Z24" s="2" t="str">
        <x:v>usable_report</x:v>
      </x:c>
    </x:row>
    <x:row r="25" ht="24" customHeight="1">
      <x:c r="A25" s="2" t="str">
        <x:v>gpt-oss-20b (DeepInfra) / initial_only</x:v>
      </x:c>
      <x:c r="B25" s="2" t="str">
        <x:v>gpt_oss_20b</x:v>
      </x:c>
      <x:c r="C25" s="2" t="str">
        <x:v>initial_only</x:v>
      </x:c>
      <x:c r="D25" s="2" t="n">
        <x:v>1</x:v>
      </x:c>
      <x:c r="E25" s="2" t="str">
        <x:v>initial</x:v>
      </x:c>
      <x:c r="F25" s="2" t="str">
        <x:v>completed</x:v>
      </x:c>
      <x:c r="G25" s="11" t="b">
        <x:v>0</x:v>
      </x:c>
      <x:c r="H25" s="16"/>
      <x:c r="I25" s="16"/>
      <x:c r="J25" s="16"/>
      <x:c r="K25" s="17" t="n">
        <x:v>0.00095905</x:v>
      </x:c>
      <x:c r="L25" s="18" t="n">
        <x:v>17.37846695794724</x:v>
      </x:c>
      <x:c r="M25" s="16" t="n">
        <x:v>3</x:v>
      </x:c>
      <x:c r="N25" s="16" t="n">
        <x:v>0</x:v>
      </x:c>
      <x:c r="O25" s="16" t="n">
        <x:v>0</x:v>
      </x:c>
      <x:c r="P25" s="16" t="n">
        <x:v>13</x:v>
      </x:c>
      <x:c r="Q25" s="19" t="n">
        <x:f>IF(ISNUMBER(O25),O25/P25,"")</x:f>
        <x:v>0</x:v>
      </x:c>
      <x:c r="R25" s="16" t="n">
        <x:v>0</x:v>
      </x:c>
      <x:c r="S25" s="16" t="n">
        <x:v>531</x:v>
      </x:c>
      <x:c r="T25" s="19" t="n">
        <x:f>IF(ISNUMBER(R25),R25/S25,"")</x:f>
        <x:v>0</x:v>
      </x:c>
      <x:c r="U25" s="2" t="str">
        <x:v>no_failure_observed</x:v>
      </x:c>
      <x:c r="V25" s="2" t="str">
        <x:v>not_observed</x:v>
      </x:c>
      <x:c r="W25" s="2" t="str">
        <x:v>failed</x:v>
      </x:c>
      <x:c r="X25" s="2" t="str">
        <x:v>failed</x:v>
      </x:c>
      <x:c r="Y25" s="2" t="str">
        <x:v>failed</x:v>
      </x:c>
      <x:c r="Z25" s="2" t="str">
        <x:v>blocked</x:v>
      </x:c>
    </x:row>
    <x:row r="26" ht="24" customHeight="1">
      <x:c r="A26" s="2" t="str">
        <x:v>gpt-oss-20b (DeepInfra) / self_review</x:v>
      </x:c>
      <x:c r="B26" s="2" t="str">
        <x:v>gpt_oss_20b</x:v>
      </x:c>
      <x:c r="C26" s="2" t="str">
        <x:v>self_review</x:v>
      </x:c>
      <x:c r="D26" s="2" t="n">
        <x:v>1</x:v>
      </x:c>
      <x:c r="E26" s="2" t="str">
        <x:v>initial</x:v>
      </x:c>
      <x:c r="F26" s="2" t="str">
        <x:v>completed</x:v>
      </x:c>
      <x:c r="G26" s="11" t="b">
        <x:v>0</x:v>
      </x:c>
      <x:c r="H26" s="16"/>
      <x:c r="I26" s="16"/>
      <x:c r="J26" s="16"/>
      <x:c r="K26" s="17" t="n">
        <x:v>0.00123763</x:v>
      </x:c>
      <x:c r="L26" s="18" t="n">
        <x:v>34.17279337497894</x:v>
      </x:c>
      <x:c r="M26" s="16" t="n">
        <x:v>3</x:v>
      </x:c>
      <x:c r="N26" s="16" t="n">
        <x:v>2</x:v>
      </x:c>
      <x:c r="O26" s="16" t="n">
        <x:v>0</x:v>
      </x:c>
      <x:c r="P26" s="16" t="n">
        <x:v>13</x:v>
      </x:c>
      <x:c r="Q26" s="19" t="n">
        <x:f>IF(ISNUMBER(O26),O26/P26,"")</x:f>
        <x:v>0</x:v>
      </x:c>
      <x:c r="R26" s="16" t="n">
        <x:v>0</x:v>
      </x:c>
      <x:c r="S26" s="16" t="n">
        <x:v>531</x:v>
      </x:c>
      <x:c r="T26" s="19" t="n">
        <x:f>IF(ISNUMBER(R26),R26/S26,"")</x:f>
        <x:v>0</x:v>
      </x:c>
      <x:c r="U26" s="2" t="str">
        <x:v>no_failure_observed</x:v>
      </x:c>
      <x:c r="V26" s="2" t="str">
        <x:v>not_observed</x:v>
      </x:c>
      <x:c r="W26" s="2" t="str">
        <x:v>failed</x:v>
      </x:c>
      <x:c r="X26" s="2" t="str">
        <x:v>failed</x:v>
      </x:c>
      <x:c r="Y26" s="2" t="str">
        <x:v>failed</x:v>
      </x:c>
      <x:c r="Z26" s="2" t="str">
        <x:v>blocked</x:v>
      </x:c>
    </x:row>
    <x:row r="27" ht="24" customHeight="1">
      <x:c r="A27" s="2" t="str">
        <x:v>gpt-oss-20b (DeepInfra) / self_review</x:v>
      </x:c>
      <x:c r="B27" s="2" t="str">
        <x:v>gpt_oss_20b</x:v>
      </x:c>
      <x:c r="C27" s="2" t="str">
        <x:v>self_review</x:v>
      </x:c>
      <x:c r="D27" s="2" t="n">
        <x:v>1</x:v>
      </x:c>
      <x:c r="E27" s="2" t="str">
        <x:v>final</x:v>
      </x:c>
      <x:c r="F27" s="2" t="str">
        <x:v>completed</x:v>
      </x:c>
      <x:c r="G27" s="11" t="b">
        <x:v>0</x:v>
      </x:c>
      <x:c r="H27" s="16"/>
      <x:c r="I27" s="16"/>
      <x:c r="J27" s="16"/>
      <x:c r="K27" s="17" t="n">
        <x:v>0.00027125</x:v>
      </x:c>
      <x:c r="L27" s="18" t="n">
        <x:v>4.329090999963228</x:v>
      </x:c>
      <x:c r="M27" s="16" t="n">
        <x:v>0</x:v>
      </x:c>
      <x:c r="N27" s="16" t="n">
        <x:v>0</x:v>
      </x:c>
      <x:c r="O27" s="16" t="n">
        <x:v>0</x:v>
      </x:c>
      <x:c r="P27" s="16" t="n">
        <x:v>13</x:v>
      </x:c>
      <x:c r="Q27" s="19" t="n">
        <x:f>IF(ISNUMBER(O27),O27/P27,"")</x:f>
        <x:v>0</x:v>
      </x:c>
      <x:c r="R27" s="16" t="n">
        <x:v>0</x:v>
      </x:c>
      <x:c r="S27" s="16" t="n">
        <x:v>531</x:v>
      </x:c>
      <x:c r="T27" s="19" t="n">
        <x:f>IF(ISNUMBER(R27),R27/S27,"")</x:f>
        <x:v>0</x:v>
      </x:c>
      <x:c r="U27" s="2" t="str">
        <x:v>no_failure_observed</x:v>
      </x:c>
      <x:c r="V27" s="2" t="str">
        <x:v>not_observed</x:v>
      </x:c>
      <x:c r="W27" s="2" t="str">
        <x:v>failed</x:v>
      </x:c>
      <x:c r="X27" s="2" t="str">
        <x:v>failed</x:v>
      </x:c>
      <x:c r="Y27" s="2" t="str">
        <x:v>failed</x:v>
      </x:c>
      <x:c r="Z27" s="2" t="str">
        <x:v>blocked</x:v>
      </x:c>
    </x:row>
    <x:row r="28" ht="24" customHeight="1">
      <x:c r="A28" s="2" t="str">
        <x:v>gpt-oss-20b (DeepInfra) / p21_feedback</x:v>
      </x:c>
      <x:c r="B28" s="2" t="str">
        <x:v>gpt_oss_20b</x:v>
      </x:c>
      <x:c r="C28" s="2" t="str">
        <x:v>p21_feedback</x:v>
      </x:c>
      <x:c r="D28" s="2" t="n">
        <x:v>1</x:v>
      </x:c>
      <x:c r="E28" s="2" t="str">
        <x:v>initial</x:v>
      </x:c>
      <x:c r="F28" s="2" t="str">
        <x:v>completed</x:v>
      </x:c>
      <x:c r="G28" s="11" t="b">
        <x:v>0</x:v>
      </x:c>
      <x:c r="H28" s="16"/>
      <x:c r="I28" s="16"/>
      <x:c r="J28" s="16"/>
      <x:c r="K28" s="17" t="n">
        <x:v>0.00059254</x:v>
      </x:c>
      <x:c r="L28" s="18" t="n">
        <x:v>7.105616291984916</x:v>
      </x:c>
      <x:c r="M28" s="16" t="n">
        <x:v>2</x:v>
      </x:c>
      <x:c r="N28" s="16" t="n">
        <x:v>0</x:v>
      </x:c>
      <x:c r="O28" s="16" t="n">
        <x:v>0</x:v>
      </x:c>
      <x:c r="P28" s="16" t="n">
        <x:v>13</x:v>
      </x:c>
      <x:c r="Q28" s="19" t="n">
        <x:f>IF(ISNUMBER(O28),O28/P28,"")</x:f>
        <x:v>0</x:v>
      </x:c>
      <x:c r="R28" s="16" t="n">
        <x:v>0</x:v>
      </x:c>
      <x:c r="S28" s="16" t="n">
        <x:v>531</x:v>
      </x:c>
      <x:c r="T28" s="19" t="n">
        <x:f>IF(ISNUMBER(R28),R28/S28,"")</x:f>
        <x:v>0</x:v>
      </x:c>
      <x:c r="U28" s="2" t="str">
        <x:v>no_failure_observed</x:v>
      </x:c>
      <x:c r="V28" s="2" t="str">
        <x:v>not_observed</x:v>
      </x:c>
      <x:c r="W28" s="2" t="str">
        <x:v>failed</x:v>
      </x:c>
      <x:c r="X28" s="2" t="str">
        <x:v>failed</x:v>
      </x:c>
      <x:c r="Y28" s="2" t="str">
        <x:v>blocked</x:v>
      </x:c>
      <x:c r="Z28" s="2" t="str">
        <x:v>blocked</x:v>
      </x:c>
    </x:row>
    <x:row r="29" ht="24" customHeight="1">
      <x:c r="A29" s="2" t="str">
        <x:v>gpt-oss-20b (DeepInfra) / p21_feedback</x:v>
      </x:c>
      <x:c r="B29" s="2" t="str">
        <x:v>gpt_oss_20b</x:v>
      </x:c>
      <x:c r="C29" s="2" t="str">
        <x:v>p21_feedback</x:v>
      </x:c>
      <x:c r="D29" s="2" t="n">
        <x:v>1</x:v>
      </x:c>
      <x:c r="E29" s="2" t="str">
        <x:v>final</x:v>
      </x:c>
      <x:c r="F29" s="2" t="str">
        <x:v>completed</x:v>
      </x:c>
      <x:c r="G29" s="11" t="b">
        <x:v>0</x:v>
      </x:c>
      <x:c r="H29" s="16"/>
      <x:c r="I29" s="16"/>
      <x:c r="J29" s="16"/>
      <x:c r="K29" s="17" t="n">
        <x:v>0.0007156199999999999</x:v>
      </x:c>
      <x:c r="L29" s="18" t="n">
        <x:v>23.042475041002035</x:v>
      </x:c>
      <x:c r="M29" s="16" t="n">
        <x:v>1</x:v>
      </x:c>
      <x:c r="N29" s="16" t="n">
        <x:v>0</x:v>
      </x:c>
      <x:c r="O29" s="16" t="n">
        <x:v>0</x:v>
      </x:c>
      <x:c r="P29" s="16" t="n">
        <x:v>13</x:v>
      </x:c>
      <x:c r="Q29" s="19" t="n">
        <x:f>IF(ISNUMBER(O29),O29/P29,"")</x:f>
        <x:v>0</x:v>
      </x:c>
      <x:c r="R29" s="16" t="n">
        <x:v>0</x:v>
      </x:c>
      <x:c r="S29" s="16" t="n">
        <x:v>531</x:v>
      </x:c>
      <x:c r="T29" s="19" t="n">
        <x:f>IF(ISNUMBER(R29),R29/S29,"")</x:f>
        <x:v>0</x:v>
      </x:c>
      <x:c r="U29" s="2" t="str">
        <x:v>no_failure_observed</x:v>
      </x:c>
      <x:c r="V29" s="2" t="str">
        <x:v>not_observed</x:v>
      </x:c>
      <x:c r="W29" s="2" t="str">
        <x:v>failed</x:v>
      </x:c>
      <x:c r="X29" s="2" t="str">
        <x:v>failed</x:v>
      </x:c>
      <x:c r="Y29" s="2" t="str">
        <x:v>failed</x:v>
      </x:c>
      <x:c r="Z29" s="2" t="str">
        <x:v>blocked</x:v>
      </x:c>
    </x:row>
    <x:row r="30" ht="24" customHeight="1">
      <x:c r="A30" s="2" t="str">
        <x:v>gpt-oss-120b (DeepInfra) / initial_only</x:v>
      </x:c>
      <x:c r="B30" s="2" t="str">
        <x:v>gpt_oss_120b</x:v>
      </x:c>
      <x:c r="C30" s="2" t="str">
        <x:v>initial_only</x:v>
      </x:c>
      <x:c r="D30" s="2" t="n">
        <x:v>1</x:v>
      </x:c>
      <x:c r="E30" s="2" t="str">
        <x:v>initial</x:v>
      </x:c>
      <x:c r="F30" s="2" t="str">
        <x:v>completed</x:v>
      </x:c>
      <x:c r="G30" s="11" t="b">
        <x:v>0</x:v>
      </x:c>
      <x:c r="H30" s="16"/>
      <x:c r="I30" s="16"/>
      <x:c r="J30" s="16"/>
      <x:c r="K30" s="17" t="n">
        <x:v>0.000498685</x:v>
      </x:c>
      <x:c r="L30" s="18" t="n">
        <x:v>6.793829999980517</x:v>
      </x:c>
      <x:c r="M30" s="16" t="n">
        <x:v>1</x:v>
      </x:c>
      <x:c r="N30" s="16" t="n">
        <x:v>0</x:v>
      </x:c>
      <x:c r="O30" s="16" t="n">
        <x:v>0</x:v>
      </x:c>
      <x:c r="P30" s="16" t="n">
        <x:v>13</x:v>
      </x:c>
      <x:c r="Q30" s="19" t="n">
        <x:f>IF(ISNUMBER(O30),O30/P30,"")</x:f>
        <x:v>0</x:v>
      </x:c>
      <x:c r="R30" s="16" t="n">
        <x:v>0</x:v>
      </x:c>
      <x:c r="S30" s="16" t="n">
        <x:v>531</x:v>
      </x:c>
      <x:c r="T30" s="19" t="n">
        <x:f>IF(ISNUMBER(R30),R30/S30,"")</x:f>
        <x:v>0</x:v>
      </x:c>
      <x:c r="U30" s="2" t="str">
        <x:v>no_failure_observed</x:v>
      </x:c>
      <x:c r="V30" s="2" t="str">
        <x:v>not_observed</x:v>
      </x:c>
      <x:c r="W30" s="2" t="str">
        <x:v>failed</x:v>
      </x:c>
      <x:c r="X30" s="2" t="str">
        <x:v>failed</x:v>
      </x:c>
      <x:c r="Y30" s="2" t="str">
        <x:v>blocked</x:v>
      </x:c>
      <x:c r="Z30" s="2" t="str">
        <x:v>blocked</x:v>
      </x:c>
    </x:row>
    <x:row r="31" ht="24" customHeight="1">
      <x:c r="A31" s="2" t="str">
        <x:v>gpt-oss-120b (DeepInfra) / self_review</x:v>
      </x:c>
      <x:c r="B31" s="2" t="str">
        <x:v>gpt_oss_120b</x:v>
      </x:c>
      <x:c r="C31" s="2" t="str">
        <x:v>self_review</x:v>
      </x:c>
      <x:c r="D31" s="2" t="n">
        <x:v>1</x:v>
      </x:c>
      <x:c r="E31" s="2" t="str">
        <x:v>initial</x:v>
      </x:c>
      <x:c r="F31" s="2" t="str">
        <x:v>completed</x:v>
      </x:c>
      <x:c r="G31" s="11" t="b">
        <x:v>0</x:v>
      </x:c>
      <x:c r="H31" s="16"/>
      <x:c r="I31" s="16"/>
      <x:c r="J31" s="16"/>
      <x:c r="K31" s="17" t="n">
        <x:v>0.000543441</x:v>
      </x:c>
      <x:c r="L31" s="18" t="n">
        <x:v>9.295327291009016</x:v>
      </x:c>
      <x:c r="M31" s="16" t="n">
        <x:v>1</x:v>
      </x:c>
      <x:c r="N31" s="16" t="n">
        <x:v>0</x:v>
      </x:c>
      <x:c r="O31" s="16" t="n">
        <x:v>0</x:v>
      </x:c>
      <x:c r="P31" s="16" t="n">
        <x:v>13</x:v>
      </x:c>
      <x:c r="Q31" s="19" t="n">
        <x:f>IF(ISNUMBER(O31),O31/P31,"")</x:f>
        <x:v>0</x:v>
      </x:c>
      <x:c r="R31" s="16" t="n">
        <x:v>0</x:v>
      </x:c>
      <x:c r="S31" s="16" t="n">
        <x:v>531</x:v>
      </x:c>
      <x:c r="T31" s="19" t="n">
        <x:f>IF(ISNUMBER(R31),R31/S31,"")</x:f>
        <x:v>0</x:v>
      </x:c>
      <x:c r="U31" s="2" t="str">
        <x:v>no_failure_observed</x:v>
      </x:c>
      <x:c r="V31" s="2" t="str">
        <x:v>not_observed</x:v>
      </x:c>
      <x:c r="W31" s="2" t="str">
        <x:v>failed</x:v>
      </x:c>
      <x:c r="X31" s="2" t="str">
        <x:v>failed</x:v>
      </x:c>
      <x:c r="Y31" s="2" t="str">
        <x:v>blocked</x:v>
      </x:c>
      <x:c r="Z31" s="2" t="str">
        <x:v>blocked</x:v>
      </x:c>
    </x:row>
    <x:row r="32" ht="24" customHeight="1">
      <x:c r="A32" s="2" t="str">
        <x:v>gpt-oss-120b (DeepInfra) / self_review</x:v>
      </x:c>
      <x:c r="B32" s="2" t="str">
        <x:v>gpt_oss_120b</x:v>
      </x:c>
      <x:c r="C32" s="2" t="str">
        <x:v>self_review</x:v>
      </x:c>
      <x:c r="D32" s="2" t="n">
        <x:v>1</x:v>
      </x:c>
      <x:c r="E32" s="2" t="str">
        <x:v>final</x:v>
      </x:c>
      <x:c r="F32" s="2" t="str">
        <x:v>completed</x:v>
      </x:c>
      <x:c r="G32" s="11" t="b">
        <x:v>0</x:v>
      </x:c>
      <x:c r="H32" s="16"/>
      <x:c r="I32" s="16"/>
      <x:c r="J32" s="16"/>
      <x:c r="K32" s="17" t="n">
        <x:v>0.00030964</x:v>
      </x:c>
      <x:c r="L32" s="18" t="n">
        <x:v>6.386790665972512</x:v>
      </x:c>
      <x:c r="M32" s="16" t="n">
        <x:v>0</x:v>
      </x:c>
      <x:c r="N32" s="16" t="n">
        <x:v>0</x:v>
      </x:c>
      <x:c r="O32" s="16" t="n">
        <x:v>0</x:v>
      </x:c>
      <x:c r="P32" s="16" t="n">
        <x:v>13</x:v>
      </x:c>
      <x:c r="Q32" s="19" t="n">
        <x:f>IF(ISNUMBER(O32),O32/P32,"")</x:f>
        <x:v>0</x:v>
      </x:c>
      <x:c r="R32" s="16" t="n">
        <x:v>0</x:v>
      </x:c>
      <x:c r="S32" s="16" t="n">
        <x:v>531</x:v>
      </x:c>
      <x:c r="T32" s="19" t="n">
        <x:f>IF(ISNUMBER(R32),R32/S32,"")</x:f>
        <x:v>0</x:v>
      </x:c>
      <x:c r="U32" s="2" t="str">
        <x:v>no_failure_observed</x:v>
      </x:c>
      <x:c r="V32" s="2" t="str">
        <x:v>not_observed</x:v>
      </x:c>
      <x:c r="W32" s="2" t="str">
        <x:v>failed</x:v>
      </x:c>
      <x:c r="X32" s="2" t="str">
        <x:v>failed</x:v>
      </x:c>
      <x:c r="Y32" s="2" t="str">
        <x:v>blocked</x:v>
      </x:c>
      <x:c r="Z32" s="2" t="str">
        <x:v>blocked</x:v>
      </x:c>
    </x:row>
    <x:row r="33" ht="24" customHeight="1">
      <x:c r="A33" s="2" t="str">
        <x:v>gpt-oss-120b (DeepInfra) / p21_feedback</x:v>
      </x:c>
      <x:c r="B33" s="2" t="str">
        <x:v>gpt_oss_120b</x:v>
      </x:c>
      <x:c r="C33" s="2" t="str">
        <x:v>p21_feedback</x:v>
      </x:c>
      <x:c r="D33" s="2" t="n">
        <x:v>1</x:v>
      </x:c>
      <x:c r="E33" s="2" t="str">
        <x:v>initial</x:v>
      </x:c>
      <x:c r="F33" s="2" t="str">
        <x:v>completed</x:v>
      </x:c>
      <x:c r="G33" s="11" t="b">
        <x:v>0</x:v>
      </x:c>
      <x:c r="H33" s="16"/>
      <x:c r="I33" s="16"/>
      <x:c r="J33" s="16"/>
      <x:c r="K33" s="17" t="n">
        <x:v>0.000827729</x:v>
      </x:c>
      <x:c r="L33" s="18" t="n">
        <x:v>15.629410042020027</x:v>
      </x:c>
      <x:c r="M33" s="16" t="n">
        <x:v>2</x:v>
      </x:c>
      <x:c r="N33" s="16" t="n">
        <x:v>0</x:v>
      </x:c>
      <x:c r="O33" s="16" t="n">
        <x:v>0</x:v>
      </x:c>
      <x:c r="P33" s="16" t="n">
        <x:v>13</x:v>
      </x:c>
      <x:c r="Q33" s="19" t="n">
        <x:f>IF(ISNUMBER(O33),O33/P33,"")</x:f>
        <x:v>0</x:v>
      </x:c>
      <x:c r="R33" s="16" t="n">
        <x:v>0</x:v>
      </x:c>
      <x:c r="S33" s="16" t="n">
        <x:v>531</x:v>
      </x:c>
      <x:c r="T33" s="19" t="n">
        <x:f>IF(ISNUMBER(R33),R33/S33,"")</x:f>
        <x:v>0</x:v>
      </x:c>
      <x:c r="U33" s="2" t="str">
        <x:v>no_failure_observed</x:v>
      </x:c>
      <x:c r="V33" s="2" t="str">
        <x:v>not_observed</x:v>
      </x:c>
      <x:c r="W33" s="2" t="str">
        <x:v>failed</x:v>
      </x:c>
      <x:c r="X33" s="2" t="str">
        <x:v>failed</x:v>
      </x:c>
      <x:c r="Y33" s="2" t="str">
        <x:v>blocked</x:v>
      </x:c>
      <x:c r="Z33" s="2" t="str">
        <x:v>blocked</x:v>
      </x:c>
    </x:row>
    <x:row r="34" ht="24" customHeight="1">
      <x:c r="A34" s="2" t="str">
        <x:v>gpt-oss-120b (DeepInfra) / p21_feedback</x:v>
      </x:c>
      <x:c r="B34" s="2" t="str">
        <x:v>gpt_oss_120b</x:v>
      </x:c>
      <x:c r="C34" s="2" t="str">
        <x:v>p21_feedback</x:v>
      </x:c>
      <x:c r="D34" s="2" t="n">
        <x:v>1</x:v>
      </x:c>
      <x:c r="E34" s="2" t="str">
        <x:v>final</x:v>
      </x:c>
      <x:c r="F34" s="2" t="str">
        <x:v>completed</x:v>
      </x:c>
      <x:c r="G34" s="11" t="b">
        <x:v>0</x:v>
      </x:c>
      <x:c r="H34" s="16"/>
      <x:c r="I34" s="16"/>
      <x:c r="J34" s="16"/>
      <x:c r="K34" s="17" t="n">
        <x:v>0.000319186</x:v>
      </x:c>
      <x:c r="L34" s="18" t="n">
        <x:v>8.057852083002217</x:v>
      </x:c>
      <x:c r="M34" s="16" t="n">
        <x:v>0</x:v>
      </x:c>
      <x:c r="N34" s="16" t="n">
        <x:v>0</x:v>
      </x:c>
      <x:c r="O34" s="16" t="n">
        <x:v>0</x:v>
      </x:c>
      <x:c r="P34" s="16" t="n">
        <x:v>13</x:v>
      </x:c>
      <x:c r="Q34" s="19" t="n">
        <x:f>IF(ISNUMBER(O34),O34/P34,"")</x:f>
        <x:v>0</x:v>
      </x:c>
      <x:c r="R34" s="16" t="n">
        <x:v>0</x:v>
      </x:c>
      <x:c r="S34" s="16" t="n">
        <x:v>531</x:v>
      </x:c>
      <x:c r="T34" s="19" t="n">
        <x:f>IF(ISNUMBER(R34),R34/S34,"")</x:f>
        <x:v>0</x:v>
      </x:c>
      <x:c r="U34" s="2" t="str">
        <x:v>no_failure_observed</x:v>
      </x:c>
      <x:c r="V34" s="2" t="str">
        <x:v>not_observed</x:v>
      </x:c>
      <x:c r="W34" s="2" t="str">
        <x:v>failed</x:v>
      </x:c>
      <x:c r="X34" s="2" t="str">
        <x:v>failed</x:v>
      </x:c>
      <x:c r="Y34" s="2" t="str">
        <x:v>blocked</x:v>
      </x:c>
      <x:c r="Z34" s="2" t="str">
        <x:v>blocked</x:v>
      </x:c>
    </x:row>
    <x:row r="35" ht="24" customHeight="1">
      <x:c r="A35" s="2" t="str">
        <x:v>llama-4-scout (DeepInfra) / initial_only</x:v>
      </x:c>
      <x:c r="B35" s="2" t="str">
        <x:v>llama_4_scout</x:v>
      </x:c>
      <x:c r="C35" s="2" t="str">
        <x:v>initial_only</x:v>
      </x:c>
      <x:c r="D35" s="2" t="n">
        <x:v>1</x:v>
      </x:c>
      <x:c r="E35" s="2" t="str">
        <x:v>initial</x:v>
      </x:c>
      <x:c r="F35" s="2" t="str">
        <x:v>completed</x:v>
      </x:c>
      <x:c r="G35" s="11" t="b">
        <x:v>0</x:v>
      </x:c>
      <x:c r="H35" s="16"/>
      <x:c r="I35" s="16"/>
      <x:c r="J35" s="16"/>
      <x:c r="K35" s="17" t="n">
        <x:v>0.0013382</x:v>
      </x:c>
      <x:c r="L35" s="18" t="n">
        <x:v>7.38437599997269</x:v>
      </x:c>
      <x:c r="M35" s="16" t="n">
        <x:v>2</x:v>
      </x:c>
      <x:c r="N35" s="16" t="n">
        <x:v>2</x:v>
      </x:c>
      <x:c r="O35" s="16" t="n">
        <x:v>0</x:v>
      </x:c>
      <x:c r="P35" s="16" t="n">
        <x:v>13</x:v>
      </x:c>
      <x:c r="Q35" s="19" t="n">
        <x:f>IF(ISNUMBER(O35),O35/P35,"")</x:f>
        <x:v>0</x:v>
      </x:c>
      <x:c r="R35" s="16" t="n">
        <x:v>0</x:v>
      </x:c>
      <x:c r="S35" s="16" t="n">
        <x:v>531</x:v>
      </x:c>
      <x:c r="T35" s="19" t="n">
        <x:f>IF(ISNUMBER(R35),R35/S35,"")</x:f>
        <x:v>0</x:v>
      </x:c>
      <x:c r="U35" s="2" t="str">
        <x:v>no_failure_observed</x:v>
      </x:c>
      <x:c r="V35" s="2" t="str">
        <x:v>not_observed</x:v>
      </x:c>
      <x:c r="W35" s="2" t="str">
        <x:v>failed</x:v>
      </x:c>
      <x:c r="X35" s="2" t="str">
        <x:v>failed</x:v>
      </x:c>
      <x:c r="Y35" s="2" t="str">
        <x:v>blocked</x:v>
      </x:c>
      <x:c r="Z35" s="2" t="str">
        <x:v>blocked</x:v>
      </x:c>
    </x:row>
    <x:row r="36" ht="24" customHeight="1">
      <x:c r="A36" s="2" t="str">
        <x:v>llama-4-scout (DeepInfra) / self_review</x:v>
      </x:c>
      <x:c r="B36" s="2" t="str">
        <x:v>llama_4_scout</x:v>
      </x:c>
      <x:c r="C36" s="2" t="str">
        <x:v>self_review</x:v>
      </x:c>
      <x:c r="D36" s="2" t="n">
        <x:v>1</x:v>
      </x:c>
      <x:c r="E36" s="2" t="str">
        <x:v>initial</x:v>
      </x:c>
      <x:c r="F36" s="2" t="str">
        <x:v>completed</x:v>
      </x:c>
      <x:c r="G36" s="11" t="b">
        <x:v>0</x:v>
      </x:c>
      <x:c r="H36" s="16"/>
      <x:c r="I36" s="16"/>
      <x:c r="J36" s="16"/>
      <x:c r="K36" s="17" t="n">
        <x:v>0.0007006</x:v>
      </x:c>
      <x:c r="L36" s="18" t="n">
        <x:v>10.461377916974016</x:v>
      </x:c>
      <x:c r="M36" s="16" t="n">
        <x:v>0</x:v>
      </x:c>
      <x:c r="N36" s="16" t="n">
        <x:v>0</x:v>
      </x:c>
      <x:c r="O36" s="16" t="n">
        <x:v>0</x:v>
      </x:c>
      <x:c r="P36" s="16" t="n">
        <x:v>13</x:v>
      </x:c>
      <x:c r="Q36" s="19" t="n">
        <x:f>IF(ISNUMBER(O36),O36/P36,"")</x:f>
        <x:v>0</x:v>
      </x:c>
      <x:c r="R36" s="16" t="n">
        <x:v>0</x:v>
      </x:c>
      <x:c r="S36" s="16" t="n">
        <x:v>531</x:v>
      </x:c>
      <x:c r="T36" s="19" t="n">
        <x:f>IF(ISNUMBER(R36),R36/S36,"")</x:f>
        <x:v>0</x:v>
      </x:c>
      <x:c r="U36" s="2" t="str">
        <x:v>no_failure_observed</x:v>
      </x:c>
      <x:c r="V36" s="2" t="str">
        <x:v>not_observed</x:v>
      </x:c>
      <x:c r="W36" s="2" t="str">
        <x:v>failed</x:v>
      </x:c>
      <x:c r="X36" s="2" t="str">
        <x:v>failed</x:v>
      </x:c>
      <x:c r="Y36" s="2" t="str">
        <x:v>blocked</x:v>
      </x:c>
      <x:c r="Z36" s="2" t="str">
        <x:v>blocked</x:v>
      </x:c>
    </x:row>
    <x:row r="37" ht="24" customHeight="1">
      <x:c r="A37" s="2" t="str">
        <x:v>llama-4-scout (DeepInfra) / self_review</x:v>
      </x:c>
      <x:c r="B37" s="2" t="str">
        <x:v>llama_4_scout</x:v>
      </x:c>
      <x:c r="C37" s="2" t="str">
        <x:v>self_review</x:v>
      </x:c>
      <x:c r="D37" s="2" t="n">
        <x:v>1</x:v>
      </x:c>
      <x:c r="E37" s="2" t="str">
        <x:v>final</x:v>
      </x:c>
      <x:c r="F37" s="2" t="str">
        <x:v>completed</x:v>
      </x:c>
      <x:c r="G37" s="11" t="b">
        <x:v>0</x:v>
      </x:c>
      <x:c r="H37" s="16"/>
      <x:c r="I37" s="16"/>
      <x:c r="J37" s="16"/>
      <x:c r="K37" s="17" t="n">
        <x:v>0.0007041</x:v>
      </x:c>
      <x:c r="L37" s="18" t="n">
        <x:v>9.320754707965534</x:v>
      </x:c>
      <x:c r="M37" s="16" t="n">
        <x:v>0</x:v>
      </x:c>
      <x:c r="N37" s="16" t="n">
        <x:v>0</x:v>
      </x:c>
      <x:c r="O37" s="16" t="n">
        <x:v>0</x:v>
      </x:c>
      <x:c r="P37" s="16" t="n">
        <x:v>13</x:v>
      </x:c>
      <x:c r="Q37" s="19" t="n">
        <x:f>IF(ISNUMBER(O37),O37/P37,"")</x:f>
        <x:v>0</x:v>
      </x:c>
      <x:c r="R37" s="16" t="n">
        <x:v>0</x:v>
      </x:c>
      <x:c r="S37" s="16" t="n">
        <x:v>531</x:v>
      </x:c>
      <x:c r="T37" s="19" t="n">
        <x:f>IF(ISNUMBER(R37),R37/S37,"")</x:f>
        <x:v>0</x:v>
      </x:c>
      <x:c r="U37" s="2" t="str">
        <x:v>no_failure_observed</x:v>
      </x:c>
      <x:c r="V37" s="2" t="str">
        <x:v>not_observed</x:v>
      </x:c>
      <x:c r="W37" s="2" t="str">
        <x:v>failed</x:v>
      </x:c>
      <x:c r="X37" s="2" t="str">
        <x:v>failed</x:v>
      </x:c>
      <x:c r="Y37" s="2" t="str">
        <x:v>blocked</x:v>
      </x:c>
      <x:c r="Z37" s="2" t="str">
        <x:v>blocked</x:v>
      </x:c>
    </x:row>
    <x:row r="38" ht="24" customHeight="1">
      <x:c r="A38" s="2" t="str">
        <x:v>llama-4-scout (DeepInfra) / p21_feedback</x:v>
      </x:c>
      <x:c r="B38" s="2" t="str">
        <x:v>llama_4_scout</x:v>
      </x:c>
      <x:c r="C38" s="2" t="str">
        <x:v>p21_feedback</x:v>
      </x:c>
      <x:c r="D38" s="2" t="n">
        <x:v>1</x:v>
      </x:c>
      <x:c r="E38" s="2" t="str">
        <x:v>initial</x:v>
      </x:c>
      <x:c r="F38" s="2" t="str">
        <x:v>completed</x:v>
      </x:c>
      <x:c r="G38" s="11" t="b">
        <x:v>0</x:v>
      </x:c>
      <x:c r="H38" s="16"/>
      <x:c r="I38" s="16"/>
      <x:c r="J38" s="16"/>
      <x:c r="K38" s="17" t="n">
        <x:v>0.0007567</x:v>
      </x:c>
      <x:c r="L38" s="18" t="n">
        <x:v>14.071400541986804</x:v>
      </x:c>
      <x:c r="M38" s="16" t="n">
        <x:v>0</x:v>
      </x:c>
      <x:c r="N38" s="16" t="n">
        <x:v>0</x:v>
      </x:c>
      <x:c r="O38" s="16" t="n">
        <x:v>0</x:v>
      </x:c>
      <x:c r="P38" s="16" t="n">
        <x:v>13</x:v>
      </x:c>
      <x:c r="Q38" s="19" t="n">
        <x:f>IF(ISNUMBER(O38),O38/P38,"")</x:f>
        <x:v>0</x:v>
      </x:c>
      <x:c r="R38" s="16" t="n">
        <x:v>0</x:v>
      </x:c>
      <x:c r="S38" s="16" t="n">
        <x:v>531</x:v>
      </x:c>
      <x:c r="T38" s="19" t="n">
        <x:f>IF(ISNUMBER(R38),R38/S38,"")</x:f>
        <x:v>0</x:v>
      </x:c>
      <x:c r="U38" s="2" t="str">
        <x:v>no_failure_observed</x:v>
      </x:c>
      <x:c r="V38" s="2" t="str">
        <x:v>not_observed</x:v>
      </x:c>
      <x:c r="W38" s="2" t="str">
        <x:v>failed</x:v>
      </x:c>
      <x:c r="X38" s="2" t="str">
        <x:v>failed</x:v>
      </x:c>
      <x:c r="Y38" s="2" t="str">
        <x:v>blocked</x:v>
      </x:c>
      <x:c r="Z38" s="2" t="str">
        <x:v>blocked</x:v>
      </x:c>
    </x:row>
    <x:row r="39" ht="24" customHeight="1">
      <x:c r="A39" s="2" t="str">
        <x:v>llama-4-scout (DeepInfra) / p21_feedback</x:v>
      </x:c>
      <x:c r="B39" s="2" t="str">
        <x:v>llama_4_scout</x:v>
      </x:c>
      <x:c r="C39" s="2" t="str">
        <x:v>p21_feedback</x:v>
      </x:c>
      <x:c r="D39" s="2" t="n">
        <x:v>1</x:v>
      </x:c>
      <x:c r="E39" s="2" t="str">
        <x:v>final</x:v>
      </x:c>
      <x:c r="F39" s="2" t="str">
        <x:v>completed</x:v>
      </x:c>
      <x:c r="G39" s="11" t="b">
        <x:v>0</x:v>
      </x:c>
      <x:c r="H39" s="16"/>
      <x:c r="I39" s="16"/>
      <x:c r="J39" s="16"/>
      <x:c r="K39" s="17" t="n">
        <x:v>0.0006901</x:v>
      </x:c>
      <x:c r="L39" s="18" t="n">
        <x:v>6.201623250031844</x:v>
      </x:c>
      <x:c r="M39" s="16" t="n">
        <x:v>0</x:v>
      </x:c>
      <x:c r="N39" s="16" t="n">
        <x:v>0</x:v>
      </x:c>
      <x:c r="O39" s="16" t="n">
        <x:v>0</x:v>
      </x:c>
      <x:c r="P39" s="16" t="n">
        <x:v>13</x:v>
      </x:c>
      <x:c r="Q39" s="19" t="n">
        <x:f>IF(ISNUMBER(O39),O39/P39,"")</x:f>
        <x:v>0</x:v>
      </x:c>
      <x:c r="R39" s="16" t="n">
        <x:v>0</x:v>
      </x:c>
      <x:c r="S39" s="16" t="n">
        <x:v>531</x:v>
      </x:c>
      <x:c r="T39" s="19" t="n">
        <x:f>IF(ISNUMBER(R39),R39/S39,"")</x:f>
        <x:v>0</x:v>
      </x:c>
      <x:c r="U39" s="2" t="str">
        <x:v>no_failure_observed</x:v>
      </x:c>
      <x:c r="V39" s="2" t="str">
        <x:v>not_observed</x:v>
      </x:c>
      <x:c r="W39" s="2" t="str">
        <x:v>failed</x:v>
      </x:c>
      <x:c r="X39" s="2" t="str">
        <x:v>failed</x:v>
      </x:c>
      <x:c r="Y39" s="2" t="str">
        <x:v>blocked</x:v>
      </x:c>
      <x:c r="Z39" s="2" t="str">
        <x:v>blocked</x:v>
      </x:c>
    </x:row>
    <x:row r="42">
      <x:c r="A42" t="str">
        <x:v>Source: metrics.json. Blank numeric cells mean unavailable. Costs are telemetry estimates, not invoices.</x:v>
      </x:c>
    </x:row>
    <x:row r="44">
      <x:c r="A44" t="str">
        <x:v>Initial-only and self-review share generation and are paired endpoints, not independent runs.</x:v>
      </x:c>
    </x:row>
    <x:row r="45">
      <x:c r="A45" t="str">
        <x:v>Do not sum both endpoint cumulative costs as batch spending; count each generation once.</x:v>
      </x:c>
    </x:row>
    <x:row r="46">
      <x:c r="A46" t="str">
        <x:v>Historical P21-feedback controls are nonconcurrent; descriptive comparisons only.</x:v>
      </x:c>
    </x:row>
    <x:row r="47">
      <x:c r="A47" t="str">
        <x:v>Repair metrics are not applicable to initial-only. Missing scores are not zero findings.</x:v>
      </x:c>
    </x:row>
    <x:row r="48">
      <x:c r="A48" t="str">
        <x:v>All failures remain in the planned denominator; no successful retry substitution.</x:v>
      </x:c>
    </x:row>
    <x:row r="49">
      <x:c r="A49" t="str">
        <x:v>Historical conformance scores use current accepted fixed-artifact revalidation; original scores remain unchanged in source evidence. Other historical metrics retain their original run measurements.</x:v>
      </x:c>
    </x:row>
    <x:row r="50">
      <x:c r="A50" t="str">
        <x:v>Metric 3 shows original and current validator status separately. A successful reassessment does not erase an original technical failure; elapsed time and cost refer to original model workflows and exclude post-hoc host revalidation.</x:v>
      </x:c>
    </x:row>
    <x:row r="51">
      <x:c r="A51" t="str">
        <x:v>Auxiliary checks cover selected conditional derivations, not comprehensive clinical correctness. Planned-check coverage is not an adjudicated applicable-check denominator.</x:v>
      </x:c>
    </x:row>
    <x:row r="52">
      <x:c r="A52" t="str">
        <x:v>API costs are telemetry estimates, not invoices. Token totals retain provider cache/reasoning buckets; cross-provider billing semantics are not independently reconciled.</x:v>
      </x:c>
    </x:row>
    <x:row r="53">
      <x:c r="A53" t="str">
        <x:v>DeepSeek was added later: two independent generation sessions supply three endpoints. This is an exploratory extension, not a prespecified main-study model.</x:v>
      </x:c>
    </x:row>
    <x:row r="54">
      <x:c r="A54" t="str">
        <x:v>DeepSeek telemetry costs use declared peak rates; actual off-peak billing may be lower. Readiness costs are excluded. The official model alias is mutable.</x:v>
      </x:c>
    </x:row>
    <x:row r="55">
      <x:c r="A55" t="str">
        <x:v>Temperature 0.2, 0.6 and 1.0 each contribute one selected independent initial-only result. Execution order was 1.0, 0.2, then 0.6. Descriptive sensitivity observations only; no causal or significance claims.</x:v>
      </x:c>
    </x:row>
    <x:row r="56">
      <x:c r="A56" t="str">
        <x:v>The title helper is disabled for all new temperature endpoints. Historical default-setting endpoints are nonconcurrent contextual controls. New temperature 1.0 is the matched-setting reference within this batch.</x:v>
      </x:c>
    </x:row>
    <x:row r="57">
      <x:c r="A57" t="str">
        <x:v>Gemini preview is a mutable provider endpoint. Serialized temperature acceptance does not verify server-side sampling internals.</x:v>
      </x:c>
    </x:row>
    <x:row r="58">
      <x:c r="A58" t="str">
        <x:v>Temperature 0.6 uses a user-authorized fresh replacement after an API spending-cap interruption. The interrupted attempt is excluded from this results table; its raw evidence remains private. Reported cost and time cover selected attempts only, not total campaign spending. There were no automatic generation retries.</x:v>
      </x:c>
    </x:row>
    <x:row r="59">
      <x:c r="A59" t="str">
        <x:v>Temperature endpoints have no repair phase. Cost estimates exclude nonclinical qualification calls and are not invoices. P21 conformance does not establish clinical derivation correctness.</x:v>
      </x:c>
    </x:row>
    <x:row r="60">
      <x:c r="A60" t="str">
        <x:v>GPT-OSS-20B contributes one independent workflow per condition. Its three initial generations are not paired; historical initial-only/self-review shared-generation endpoints have a different dependence structure.</x:v>
      </x:c>
    </x:row>
    <x:row r="61">
      <x:c r="A61" t="str">
        <x:v>DeepInfra settings are fixed at temperature 1.0, medium reasoning and 16,384 maximum response tokens. The title helper is disabled and only the declared provider API is reachable. Hosted weights and server implementation are not independently pinned.</x:v>
      </x:c>
    </x:row>
    <x:row r="62">
      <x:c r="A62" t="str">
        <x:v>One repetition per condition supports descriptive feasibility observations only. No temperature or causal feedback/model-size claims are supported.</x:v>
      </x:c>
    </x:row>
    <x:row r="63">
      <x:c r="A63" t="str">
        <x:v>All three planned GPT-OSS-20B conditions remain in the denominator, including failures and unscheduled conditions if execution stops. No automatic retries. Missing scores are unavailable, not zero.</x:v>
      </x:c>
    </x:row>
    <x:row r="64">
      <x:c r="A64" t="str">
        <x:v>API cost estimates exclude technical qualification and are not invoices. The GPT-OSS conditions independently incur their own generation and repair costs.</x:v>
      </x:c>
    </x:row>
    <x:row r="65">
      <x:c r="A65" t="str">
        <x:v>The selected GPT-OSS batch follows a documented file-tool environment amendment: a hash-pinned ripgrep executable is provisioned before generation. An earlier unqualified batch with glob dependency errors remains private and is excluded from the results table; its spending is not included in selected-workflow costs.</x:v>
      </x:c>
    </x:row>
    <x:row r="66">
      <x:c r="A66" t="str">
        <x:v>Where native tool telemetry is null for a normal turn, a zero tool count is reported only if exported current-turn messages independently contain no tool parts. Raw telemetry is preserved and each such interpretation is recorded.</x:v>
      </x:c>
    </x:row>
    <x:row r="67">
      <x:c r="A67" t="str">
        <x:v>GPT-OSS-120B contributes one independent workflow per condition. Its three initial generations are not paired; historical initial-only/self-review shared-generation endpoints have a different dependence structure.</x:v>
      </x:c>
    </x:row>
    <x:row r="68">
      <x:c r="A68" t="str">
        <x:v>DeepInfra settings are fixed at temperature 1.0, medium reasoning and 16,384 maximum response tokens. The title helper is disabled and only the declared provider API is reachable. Hosted weights and server implementation are not independently pinned.</x:v>
      </x:c>
    </x:row>
    <x:row r="69">
      <x:c r="A69" t="str">
        <x:v>One repetition per condition supports descriptive feasibility observations only. No temperature or causal feedback/model-size claims are supported.</x:v>
      </x:c>
    </x:row>
    <x:row r="70">
      <x:c r="A70" t="str">
        <x:v>All three planned GPT-OSS-120B conditions remain in the denominator, including failures and unscheduled conditions if execution stops. No automatic retries. Missing scores are unavailable, not zero.</x:v>
      </x:c>
    </x:row>
    <x:row r="71">
      <x:c r="A71" t="str">
        <x:v>API cost estimates exclude technical qualification and are not invoices. The GPT-OSS conditions independently incur their own generation and repair costs.</x:v>
      </x:c>
    </x:row>
    <x:row r="72">
      <x:c r="A72" t="str">
        <x:v>GPT-OSS-120B uses the same qualified hash-pinned ripgrep support as the selected GPT-OSS-20B batch. Nonclinical readiness and transport evidence are verified before each workflow. Qualification costs are excluded from clinical workflow costs.</x:v>
      </x:c>
    </x:row>
    <x:row r="73">
      <x:c r="A73" t="str">
        <x:v>Where native tool telemetry is null for a normal turn, a zero tool count is reported only if exported current-turn messages independently contain no tool parts. Raw telemetry is preserved and each such interpretation is recorded.</x:v>
      </x:c>
    </x:row>
    <x:row r="74">
      <x:c r="A74" t="str">
        <x:v>Llama 4 Scout contributes one independent workflow per condition. Its three initial generations are not paired; historical initial-only/self-review shared-generation endpoints have a different dependence structure.</x:v>
      </x:c>
    </x:row>
    <x:row r="75">
      <x:c r="A75" t="str">
        <x:v>DeepInfra settings are fixed at temperature 1.0, no reasoning-effort parameter and 16,384 maximum response tokens. The title helper is disabled and only the declared provider API is reachable. Hosted weights and server implementation are not independently pinned.</x:v>
      </x:c>
    </x:row>
    <x:row r="76">
      <x:c r="A76" t="str">
        <x:v>One repetition per condition supports descriptive feasibility observations only. No temperature or causal feedback/model-size claims are supported.</x:v>
      </x:c>
    </x:row>
    <x:row r="77">
      <x:c r="A77" t="str">
        <x:v>All three planned Llama 4 Scout conditions remain in the denominator, including failures and unscheduled conditions if execution stops. No automatic retries. Missing scores are unavailable, not zero.</x:v>
      </x:c>
    </x:row>
    <x:row r="78">
      <x:c r="A78" t="str">
        <x:v>API cost estimates exclude technical qualification and are not invoices. The Llama conditions independently incur their own generation and repair costs.</x:v>
      </x:c>
    </x:row>
    <x:row r="79">
      <x:c r="A79" t="str">
        <x:v>Llama 4 Scout uses qualified hash-pinned ripgrep support. The first nonclinical readiness attempt failed with empty tool arguments; a second diagnostic uses explicit synthetic tool parameters. All attempts are retained; study prompts are unchanged. Qualification costs are excluded from clinical workflow costs.</x:v>
      </x:c>
    </x:row>
    <x:row r="80">
      <x:c r="A80" t="str">
        <x:v>Where native tool telemetry is null for a normal turn, a zero tool count is reported only if exported current-turn messages independently contain no tool parts. Raw telemetry is preserved and each such interpretation is recorded.</x:v>
      </x:c>
    </x:row>
    <x:row r="81">
      <x:c r="A81" t="str">
        <x:v>The three added metrics are retrospective exploratory analyses defined after seeing pilot outcomes; the original sixteen metrics, scores and records are preserved.</x:v>
      </x:c>
    </x:row>
    <x:row r="82">
      <x:c r="A82" t="str">
        <x:v>Delivery and variable coverage assess retained evaluated snapshots, including a snapshot from a failed controller where available. They do not establish task success, correct records, correct values, metadata conformance or reproducibility.</x:v>
      </x:c>
    </x:row>
    <x:row r="83">
      <x:c r="A83" t="str">
        <x:v>Failure-stage indicators are nonexclusive and include downstream consequences. Missing datasets/Define-XML are delivery failures, not proof of a particular failed export command. Blocked rebuild/P21 stages are distinguished from direct failures.</x:v>
      </x:c>
    </x:row>
    <x:row r="84">
      <x:c r="A84" t="str">
        <x:v>Input/code failures require direct current-phase tool execution evidence. No observed failure is not proof of a stage passing; unclassified tool errors and controller/provider failures remain separate. Recovered tool failures remain counted in that phase.</x:v>
      </x:c>
    </x:row>
    <x:row r="85">
      <x:c r="A85" t="str">
        <x:v>Distribution denominators are table endpoints, not independent trials: some historical initial-only and self-review endpoints share an initial generation; model settings and historical environments differ. Do not use pooled counts for causal or inferential comparisons.</x:v>
      </x:c>
    </x:row>
    <x:row r="86">
      <x:c r="A86" t="str">
        <x:v>P21 failure classification uses original evaluation receipts, while original metric 3 can show later reassessment. These answer different questions and must not be conflated.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8"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4" customHeight="1">
      <x:c r="A1" s="15" t="str">
        <x:v>phase</x:v>
      </x:c>
      <x:c r="B1" s="15" t="str">
        <x:v>stage</x:v>
      </x:c>
      <x:c r="C1" s="15" t="str">
        <x:v>endpoints</x:v>
      </x:c>
      <x:c r="D1" s="15" t="str">
        <x:v>failed</x:v>
      </x:c>
      <x:c r="E1" s="15" t="str">
        <x:v>blocked</x:v>
      </x:c>
      <x:c r="F1" s="15" t="str">
        <x:v>unavailable</x:v>
      </x:c>
      <x:c r="G1" s="15" t="str">
        <x:v>not_observed</x:v>
      </x:c>
      <x:c r="H1" s="15" t="str">
        <x:v>no_failure_observed</x:v>
      </x:c>
      <x:c r="I1" s="15" t="str">
        <x:v>usable_report</x:v>
      </x:c>
    </x:row>
    <x:row r="2" ht="26" customHeight="1">
      <x:c r="A2" s="2" t="str">
        <x:v>initial</x:v>
      </x:c>
      <x:c r="B2" s="2" t="str">
        <x:v>input_reading</x:v>
      </x:c>
      <x:c r="C2" s="16" t="n">
        <x:v>24</x:v>
      </x:c>
      <x:c r="D2" s="16" t="n">
        <x:v>0</x:v>
      </x:c>
      <x:c r="E2" s="16" t="n">
        <x:v>0</x:v>
      </x:c>
      <x:c r="F2" s="16" t="n">
        <x:v>0</x:v>
      </x:c>
      <x:c r="G2" s="16" t="n">
        <x:v>0</x:v>
      </x:c>
      <x:c r="H2" s="16" t="n">
        <x:v>24</x:v>
      </x:c>
      <x:c r="I2" s="16" t="n">
        <x:v>0</x:v>
      </x:c>
    </x:row>
    <x:row r="3" ht="26" customHeight="1">
      <x:c r="A3" s="2" t="str">
        <x:v>initial</x:v>
      </x:c>
      <x:c r="B3" s="2" t="str">
        <x:v>code_execution</x:v>
      </x:c>
      <x:c r="C3" s="16" t="n">
        <x:v>24</x:v>
      </x:c>
      <x:c r="D3" s="16" t="n">
        <x:v>14</x:v>
      </x:c>
      <x:c r="E3" s="16" t="n">
        <x:v>0</x:v>
      </x:c>
      <x:c r="F3" s="16" t="n">
        <x:v>0</x:v>
      </x:c>
      <x:c r="G3" s="16" t="n">
        <x:v>9</x:v>
      </x:c>
      <x:c r="H3" s="16" t="n">
        <x:v>1</x:v>
      </x:c>
      <x:c r="I3" s="16" t="n">
        <x:v>0</x:v>
      </x:c>
    </x:row>
    <x:row r="4" ht="26" customHeight="1">
      <x:c r="A4" s="2" t="str">
        <x:v>initial</x:v>
      </x:c>
      <x:c r="B4" s="2" t="str">
        <x:v>dataset_export</x:v>
      </x:c>
      <x:c r="C4" s="16" t="n">
        <x:v>24</x:v>
      </x:c>
      <x:c r="D4" s="16" t="n">
        <x:v>9</x:v>
      </x:c>
      <x:c r="E4" s="16" t="n">
        <x:v>0</x:v>
      </x:c>
      <x:c r="F4" s="16" t="n">
        <x:v>0</x:v>
      </x:c>
      <x:c r="G4" s="16" t="n">
        <x:v>0</x:v>
      </x:c>
      <x:c r="H4" s="16" t="n">
        <x:v>15</x:v>
      </x:c>
      <x:c r="I4" s="16" t="n">
        <x:v>0</x:v>
      </x:c>
    </x:row>
    <x:row r="5" ht="26" customHeight="1">
      <x:c r="A5" s="2" t="str">
        <x:v>initial</x:v>
      </x:c>
      <x:c r="B5" s="2" t="str">
        <x:v>define_xml_generation</x:v>
      </x:c>
      <x:c r="C5" s="16" t="n">
        <x:v>24</x:v>
      </x:c>
      <x:c r="D5" s="16" t="n">
        <x:v>9</x:v>
      </x:c>
      <x:c r="E5" s="16" t="n">
        <x:v>0</x:v>
      </x:c>
      <x:c r="F5" s="16" t="n">
        <x:v>0</x:v>
      </x:c>
      <x:c r="G5" s="16" t="n">
        <x:v>0</x:v>
      </x:c>
      <x:c r="H5" s="16" t="n">
        <x:v>15</x:v>
      </x:c>
      <x:c r="I5" s="16" t="n">
        <x:v>0</x:v>
      </x:c>
    </x:row>
    <x:row r="6" ht="26" customHeight="1">
      <x:c r="A6" s="2" t="str">
        <x:v>initial</x:v>
      </x:c>
      <x:c r="B6" s="2" t="str">
        <x:v>rebuilding</x:v>
      </x:c>
      <x:c r="C6" s="16" t="n">
        <x:v>24</x:v>
      </x:c>
      <x:c r="D6" s="16" t="n">
        <x:v>3</x:v>
      </x:c>
      <x:c r="E6" s="16" t="n">
        <x:v>7</x:v>
      </x:c>
      <x:c r="F6" s="16" t="n">
        <x:v>0</x:v>
      </x:c>
      <x:c r="G6" s="16" t="n">
        <x:v>0</x:v>
      </x:c>
      <x:c r="H6" s="16" t="n">
        <x:v>14</x:v>
      </x:c>
      <x:c r="I6" s="16" t="n">
        <x:v>0</x:v>
      </x:c>
    </x:row>
    <x:row r="7" ht="26" customHeight="1">
      <x:c r="A7" s="2" t="str">
        <x:v>initial</x:v>
      </x:c>
      <x:c r="B7" s="2" t="str">
        <x:v>p21_validation</x:v>
      </x:c>
      <x:c r="C7" s="16" t="n">
        <x:v>24</x:v>
      </x:c>
      <x:c r="D7" s="16" t="n">
        <x:v>0</x:v>
      </x:c>
      <x:c r="E7" s="16" t="n">
        <x:v>9</x:v>
      </x:c>
      <x:c r="F7" s="16" t="n">
        <x:v>0</x:v>
      </x:c>
      <x:c r="G7" s="16" t="n">
        <x:v>0</x:v>
      </x:c>
      <x:c r="H7" s="16" t="n">
        <x:v>0</x:v>
      </x:c>
      <x:c r="I7" s="16" t="n">
        <x:v>15</x:v>
      </x:c>
    </x:row>
    <x:row r="8" ht="26" customHeight="1">
      <x:c r="A8" s="2" t="str">
        <x:v>final</x:v>
      </x:c>
      <x:c r="B8" s="2" t="str">
        <x:v>input_reading</x:v>
      </x:c>
      <x:c r="C8" s="16" t="n">
        <x:v>14</x:v>
      </x:c>
      <x:c r="D8" s="16" t="n">
        <x:v>0</x:v>
      </x:c>
      <x:c r="E8" s="16" t="n">
        <x:v>0</x:v>
      </x:c>
      <x:c r="F8" s="16" t="n">
        <x:v>0</x:v>
      </x:c>
      <x:c r="G8" s="16" t="n">
        <x:v>0</x:v>
      </x:c>
      <x:c r="H8" s="16" t="n">
        <x:v>14</x:v>
      </x:c>
      <x:c r="I8" s="16" t="n">
        <x:v>0</x:v>
      </x:c>
    </x:row>
    <x:row r="9" ht="26" customHeight="1">
      <x:c r="A9" s="2" t="str">
        <x:v>final</x:v>
      </x:c>
      <x:c r="B9" s="2" t="str">
        <x:v>code_execution</x:v>
      </x:c>
      <x:c r="C9" s="16" t="n">
        <x:v>14</x:v>
      </x:c>
      <x:c r="D9" s="16" t="n">
        <x:v>4</x:v>
      </x:c>
      <x:c r="E9" s="16" t="n">
        <x:v>0</x:v>
      </x:c>
      <x:c r="F9" s="16" t="n">
        <x:v>0</x:v>
      </x:c>
      <x:c r="G9" s="16" t="n">
        <x:v>6</x:v>
      </x:c>
      <x:c r="H9" s="16" t="n">
        <x:v>4</x:v>
      </x:c>
      <x:c r="I9" s="16" t="n">
        <x:v>0</x:v>
      </x:c>
    </x:row>
    <x:row r="10" ht="26" customHeight="1">
      <x:c r="A10" s="2" t="str">
        <x:v>final</x:v>
      </x:c>
      <x:c r="B10" s="2" t="str">
        <x:v>dataset_export</x:v>
      </x:c>
      <x:c r="C10" s="16" t="n">
        <x:v>14</x:v>
      </x:c>
      <x:c r="D10" s="16" t="n">
        <x:v>6</x:v>
      </x:c>
      <x:c r="E10" s="16" t="n">
        <x:v>0</x:v>
      </x:c>
      <x:c r="F10" s="16" t="n">
        <x:v>0</x:v>
      </x:c>
      <x:c r="G10" s="16" t="n">
        <x:v>0</x:v>
      </x:c>
      <x:c r="H10" s="16" t="n">
        <x:v>8</x:v>
      </x:c>
      <x:c r="I10" s="16" t="n">
        <x:v>0</x:v>
      </x:c>
    </x:row>
    <x:row r="11" ht="26" customHeight="1">
      <x:c r="A11" s="2" t="str">
        <x:v>final</x:v>
      </x:c>
      <x:c r="B11" s="2" t="str">
        <x:v>define_xml_generation</x:v>
      </x:c>
      <x:c r="C11" s="16" t="n">
        <x:v>14</x:v>
      </x:c>
      <x:c r="D11" s="16" t="n">
        <x:v>6</x:v>
      </x:c>
      <x:c r="E11" s="16" t="n">
        <x:v>0</x:v>
      </x:c>
      <x:c r="F11" s="16" t="n">
        <x:v>0</x:v>
      </x:c>
      <x:c r="G11" s="16" t="n">
        <x:v>0</x:v>
      </x:c>
      <x:c r="H11" s="16" t="n">
        <x:v>8</x:v>
      </x:c>
      <x:c r="I11" s="16" t="n">
        <x:v>0</x:v>
      </x:c>
    </x:row>
    <x:row r="12" ht="26" customHeight="1">
      <x:c r="A12" s="2" t="str">
        <x:v>final</x:v>
      </x:c>
      <x:c r="B12" s="2" t="str">
        <x:v>rebuilding</x:v>
      </x:c>
      <x:c r="C12" s="16" t="n">
        <x:v>14</x:v>
      </x:c>
      <x:c r="D12" s="16" t="n">
        <x:v>3</x:v>
      </x:c>
      <x:c r="E12" s="16" t="n">
        <x:v>4</x:v>
      </x:c>
      <x:c r="F12" s="16" t="n">
        <x:v>0</x:v>
      </x:c>
      <x:c r="G12" s="16" t="n">
        <x:v>0</x:v>
      </x:c>
      <x:c r="H12" s="16" t="n">
        <x:v>7</x:v>
      </x:c>
      <x:c r="I12" s="16" t="n">
        <x:v>0</x:v>
      </x:c>
    </x:row>
    <x:row r="13" ht="26" customHeight="1">
      <x:c r="A13" s="2" t="str">
        <x:v>final</x:v>
      </x:c>
      <x:c r="B13" s="2" t="str">
        <x:v>p21_validation</x:v>
      </x:c>
      <x:c r="C13" s="16" t="n">
        <x:v>14</x:v>
      </x:c>
      <x:c r="D13" s="16" t="n">
        <x:v>1</x:v>
      </x:c>
      <x:c r="E13" s="16" t="n">
        <x:v>6</x:v>
      </x:c>
      <x:c r="F13" s="16" t="n">
        <x:v>0</x:v>
      </x:c>
      <x:c r="G13" s="16" t="n">
        <x:v>0</x:v>
      </x:c>
      <x:c r="H13" s="16" t="n">
        <x:v>0</x:v>
      </x:c>
      <x:c r="I13" s="16" t="n">
        <x:v>7</x:v>
      </x:c>
    </x:row>
    <x:row r="14" ht="26" customHeight="1">
      <x:c r="A14" s="2" t="str">
        <x:v>terminal</x:v>
      </x:c>
      <x:c r="B14" s="2" t="str">
        <x:v>input_reading</x:v>
      </x:c>
      <x:c r="C14" s="16" t="n">
        <x:v>24</x:v>
      </x:c>
      <x:c r="D14" s="16" t="n">
        <x:v>0</x:v>
      </x:c>
      <x:c r="E14" s="16" t="n">
        <x:v>0</x:v>
      </x:c>
      <x:c r="F14" s="16" t="n">
        <x:v>0</x:v>
      </x:c>
      <x:c r="G14" s="16" t="n">
        <x:v>0</x:v>
      </x:c>
      <x:c r="H14" s="16" t="n">
        <x:v>24</x:v>
      </x:c>
      <x:c r="I14" s="16" t="n">
        <x:v>0</x:v>
      </x:c>
    </x:row>
    <x:row r="15" ht="26" customHeight="1">
      <x:c r="A15" s="2" t="str">
        <x:v>terminal</x:v>
      </x:c>
      <x:c r="B15" s="2" t="str">
        <x:v>code_execution</x:v>
      </x:c>
      <x:c r="C15" s="16" t="n">
        <x:v>24</x:v>
      </x:c>
      <x:c r="D15" s="16" t="n">
        <x:v>10</x:v>
      </x:c>
      <x:c r="E15" s="16" t="n">
        <x:v>0</x:v>
      </x:c>
      <x:c r="F15" s="16" t="n">
        <x:v>0</x:v>
      </x:c>
      <x:c r="G15" s="16" t="n">
        <x:v>9</x:v>
      </x:c>
      <x:c r="H15" s="16" t="n">
        <x:v>5</x:v>
      </x:c>
      <x:c r="I15" s="16" t="n">
        <x:v>0</x:v>
      </x:c>
    </x:row>
    <x:row r="16" ht="26" customHeight="1">
      <x:c r="A16" s="2" t="str">
        <x:v>terminal</x:v>
      </x:c>
      <x:c r="B16" s="2" t="str">
        <x:v>dataset_export</x:v>
      </x:c>
      <x:c r="C16" s="16" t="n">
        <x:v>24</x:v>
      </x:c>
      <x:c r="D16" s="16" t="n">
        <x:v>9</x:v>
      </x:c>
      <x:c r="E16" s="16" t="n">
        <x:v>0</x:v>
      </x:c>
      <x:c r="F16" s="16" t="n">
        <x:v>0</x:v>
      </x:c>
      <x:c r="G16" s="16" t="n">
        <x:v>0</x:v>
      </x:c>
      <x:c r="H16" s="16" t="n">
        <x:v>15</x:v>
      </x:c>
      <x:c r="I16" s="16" t="n">
        <x:v>0</x:v>
      </x:c>
    </x:row>
    <x:row r="17" ht="26" customHeight="1">
      <x:c r="A17" s="2" t="str">
        <x:v>terminal</x:v>
      </x:c>
      <x:c r="B17" s="2" t="str">
        <x:v>define_xml_generation</x:v>
      </x:c>
      <x:c r="C17" s="16" t="n">
        <x:v>24</x:v>
      </x:c>
      <x:c r="D17" s="16" t="n">
        <x:v>9</x:v>
      </x:c>
      <x:c r="E17" s="16" t="n">
        <x:v>0</x:v>
      </x:c>
      <x:c r="F17" s="16" t="n">
        <x:v>0</x:v>
      </x:c>
      <x:c r="G17" s="16" t="n">
        <x:v>0</x:v>
      </x:c>
      <x:c r="H17" s="16" t="n">
        <x:v>15</x:v>
      </x:c>
      <x:c r="I17" s="16" t="n">
        <x:v>0</x:v>
      </x:c>
    </x:row>
    <x:row r="18" ht="26" customHeight="1">
      <x:c r="A18" s="2" t="str">
        <x:v>terminal</x:v>
      </x:c>
      <x:c r="B18" s="2" t="str">
        <x:v>rebuilding</x:v>
      </x:c>
      <x:c r="C18" s="16" t="n">
        <x:v>24</x:v>
      </x:c>
      <x:c r="D18" s="16" t="n">
        <x:v>5</x:v>
      </x:c>
      <x:c r="E18" s="16" t="n">
        <x:v>6</x:v>
      </x:c>
      <x:c r="F18" s="16" t="n">
        <x:v>0</x:v>
      </x:c>
      <x:c r="G18" s="16" t="n">
        <x:v>0</x:v>
      </x:c>
      <x:c r="H18" s="16" t="n">
        <x:v>13</x:v>
      </x:c>
      <x:c r="I18" s="16" t="n">
        <x:v>0</x:v>
      </x:c>
    </x:row>
    <x:row r="19" ht="26" customHeight="1">
      <x:c r="A19" s="2" t="str">
        <x:v>terminal</x:v>
      </x:c>
      <x:c r="B19" s="2" t="str">
        <x:v>p21_validation</x:v>
      </x:c>
      <x:c r="C19" s="16" t="n">
        <x:v>24</x:v>
      </x:c>
      <x:c r="D19" s="16" t="n">
        <x:v>1</x:v>
      </x:c>
      <x:c r="E19" s="16" t="n">
        <x:v>9</x:v>
      </x:c>
      <x:c r="F19" s="16" t="n">
        <x:v>0</x:v>
      </x:c>
      <x:c r="G19" s="16" t="n">
        <x:v>0</x:v>
      </x:c>
      <x:c r="H19" s="16" t="n">
        <x:v>0</x:v>
      </x:c>
      <x:c r="I19" s="16" t="n">
        <x:v>14</x:v>
      </x:c>
    </x:row>
    <x:row r="22">
      <x:c r="A22" t="str">
        <x:v>Source: metrics.json supplementary phase statuses; nonexclusive counts, not independent trials.</x:v>
      </x:c>
    </x:row>
  </x:sheetData>
  <x:pageMargins left="0.7" right="0.7" top="0.75" bottom="0.75" header="0.3" footer="0.3"/>
</x:worksheet>
</file>